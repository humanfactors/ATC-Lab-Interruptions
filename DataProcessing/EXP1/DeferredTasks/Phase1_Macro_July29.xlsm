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500" yWindow="0" windowWidth="25600" windowHeight="16060" tabRatio="500" activeTab="1"/>
  </bookViews>
  <sheets>
    <sheet name="PMAircraft" sheetId="1" r:id="rId1"/>
    <sheet name="OutputHeadings" sheetId="2" r:id="rId2"/>
    <sheet name="ResumptionAircraft" sheetId="3" r:id="rId3"/>
    <sheet name="Directory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2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12" i="1"/>
</calcChain>
</file>

<file path=xl/sharedStrings.xml><?xml version="1.0" encoding="utf-8"?>
<sst xmlns="http://schemas.openxmlformats.org/spreadsheetml/2006/main" count="361" uniqueCount="219">
  <si>
    <t>Trial</t>
  </si>
  <si>
    <t>AC</t>
  </si>
  <si>
    <t>PM Key</t>
  </si>
  <si>
    <t>PM Encode (seconds)</t>
  </si>
  <si>
    <t>PM Flash (seconds)</t>
  </si>
  <si>
    <t>test1</t>
  </si>
  <si>
    <t>C70</t>
  </si>
  <si>
    <t>key_down</t>
  </si>
  <si>
    <t>test2</t>
  </si>
  <si>
    <t>C66</t>
  </si>
  <si>
    <t>test3</t>
  </si>
  <si>
    <t>C24</t>
  </si>
  <si>
    <t>key_up</t>
  </si>
  <si>
    <t>test4</t>
  </si>
  <si>
    <t>C64</t>
  </si>
  <si>
    <t>test5</t>
  </si>
  <si>
    <t>C35</t>
  </si>
  <si>
    <t>test6</t>
  </si>
  <si>
    <t>test7</t>
  </si>
  <si>
    <t>C91</t>
  </si>
  <si>
    <t>test8</t>
  </si>
  <si>
    <t>C88</t>
  </si>
  <si>
    <t>test9</t>
  </si>
  <si>
    <t>C99</t>
  </si>
  <si>
    <t>key_left</t>
  </si>
  <si>
    <t>test10</t>
  </si>
  <si>
    <t>C43</t>
  </si>
  <si>
    <t>test11</t>
  </si>
  <si>
    <t>C25</t>
  </si>
  <si>
    <t>key_right</t>
  </si>
  <si>
    <t>test12</t>
  </si>
  <si>
    <t>C46</t>
  </si>
  <si>
    <t>test13</t>
  </si>
  <si>
    <t>C39</t>
  </si>
  <si>
    <t>test14</t>
  </si>
  <si>
    <t>C82</t>
  </si>
  <si>
    <t>test15</t>
  </si>
  <si>
    <t>C15</t>
  </si>
  <si>
    <t>Participant</t>
  </si>
  <si>
    <t>TestNumber_1</t>
  </si>
  <si>
    <t>TestNumber_2</t>
  </si>
  <si>
    <t>TestNumber_3</t>
  </si>
  <si>
    <t>TestNumber_4</t>
  </si>
  <si>
    <t>TestNumber_5</t>
  </si>
  <si>
    <t>TestNumber_6</t>
  </si>
  <si>
    <t>TestNumber_7</t>
  </si>
  <si>
    <t>TestNumber_8</t>
  </si>
  <si>
    <t>TestNumber_9</t>
  </si>
  <si>
    <t>TestNumber_10</t>
  </si>
  <si>
    <t>TestNumber_11</t>
  </si>
  <si>
    <t>TestNumber_12</t>
  </si>
  <si>
    <t>TestNumber_13</t>
  </si>
  <si>
    <t>TestNumber_14</t>
  </si>
  <si>
    <t>TestNumber_15</t>
  </si>
  <si>
    <t>Nback1_PM</t>
  </si>
  <si>
    <t>Nback2_PM</t>
  </si>
  <si>
    <t>Nback3_PM</t>
  </si>
  <si>
    <t>Nback4_PM</t>
  </si>
  <si>
    <t>Nback5_PM</t>
  </si>
  <si>
    <t>Blank1_PM</t>
  </si>
  <si>
    <t>Blank2_PM</t>
  </si>
  <si>
    <t>Blank3_PM</t>
  </si>
  <si>
    <t>Blank4_PM</t>
  </si>
  <si>
    <t>Blank5_PM</t>
  </si>
  <si>
    <t>None1_PM</t>
  </si>
  <si>
    <t>None2_PM</t>
  </si>
  <si>
    <t>None3_PM</t>
  </si>
  <si>
    <t>None4_PM</t>
  </si>
  <si>
    <t>None5_PM</t>
  </si>
  <si>
    <t>NbackM_PM</t>
  </si>
  <si>
    <t>BlankM_PM</t>
  </si>
  <si>
    <t>NoneM_PM</t>
  </si>
  <si>
    <t>Nback1_PM_falsealarm</t>
  </si>
  <si>
    <t>Nback2_PM_falsealarm</t>
  </si>
  <si>
    <t>Nback3_PM_falsealarm</t>
  </si>
  <si>
    <t>Nback4_PM_falsealarm</t>
  </si>
  <si>
    <t>Nback5_PM_falsealarm</t>
  </si>
  <si>
    <t>Blank1_PM_falsealarm</t>
  </si>
  <si>
    <t>Blank2_PM_falsealarm</t>
  </si>
  <si>
    <t>Blank3_PM_falsealarm</t>
  </si>
  <si>
    <t>Blank4_PM_falsealarm</t>
  </si>
  <si>
    <t>Blank5_PM_falsealarm</t>
  </si>
  <si>
    <t>None1_PM_falsealarm</t>
  </si>
  <si>
    <t>None2_PM_falsealarm</t>
  </si>
  <si>
    <t>None3_PM_falsealarm</t>
  </si>
  <si>
    <t>None4_PM_falsealarm</t>
  </si>
  <si>
    <t>None5_PM_falsealarm</t>
  </si>
  <si>
    <t>NbackM_PM_falsealarm</t>
  </si>
  <si>
    <t>BlankM_PM_falsealarm</t>
  </si>
  <si>
    <t>NoneM_PM_falsealarm</t>
  </si>
  <si>
    <t>Nback1_Accuracy2</t>
  </si>
  <si>
    <t>Nback2_Accuracy2</t>
  </si>
  <si>
    <t>Nback3_Accuracy2</t>
  </si>
  <si>
    <t>Nback4_Accuracy2</t>
  </si>
  <si>
    <t>Nback5_Accuracy2</t>
  </si>
  <si>
    <t>Blank1_Accuracy2</t>
  </si>
  <si>
    <t>Blank2_Accuracy2</t>
  </si>
  <si>
    <t>Blank3_Accuracy2</t>
  </si>
  <si>
    <t>Blank4_Accuracy2</t>
  </si>
  <si>
    <t>Blank5_Accuracy2</t>
  </si>
  <si>
    <t>None1_Accuracy2</t>
  </si>
  <si>
    <t>None2_Accuracy2</t>
  </si>
  <si>
    <t>None3_Accuracy2</t>
  </si>
  <si>
    <t>None4_Accuracy2</t>
  </si>
  <si>
    <t>None5_Accuracy2</t>
  </si>
  <si>
    <t>NbackM_PM_Accuracy2</t>
  </si>
  <si>
    <t>BlankM_PM_Accuracy2</t>
  </si>
  <si>
    <t>NoneM_PM_Accuracy2</t>
  </si>
  <si>
    <t>Nback1_PMRT</t>
  </si>
  <si>
    <t>Nback2_PMRT</t>
  </si>
  <si>
    <t>Nback3_PMRT</t>
  </si>
  <si>
    <t>Nback4_PMRT</t>
  </si>
  <si>
    <t>Nback5_PMRT</t>
  </si>
  <si>
    <t>Blank1_PMRT</t>
  </si>
  <si>
    <t>Blank2_PMRT</t>
  </si>
  <si>
    <t>Blank3_PMRT</t>
  </si>
  <si>
    <t>Blank4_PMRT</t>
  </si>
  <si>
    <t>Blank5_PMRT</t>
  </si>
  <si>
    <t>None1_PMRT</t>
  </si>
  <si>
    <t>None2_PMRT</t>
  </si>
  <si>
    <t>None3_PMRT</t>
  </si>
  <si>
    <t>None4_PMRT</t>
  </si>
  <si>
    <t>None5_PMRT</t>
  </si>
  <si>
    <t>NbackM_PM_reaction</t>
  </si>
  <si>
    <t>BlankM_PM_reaction</t>
  </si>
  <si>
    <t>NoneM_PM_reaction</t>
  </si>
  <si>
    <t>Nback1_ResTime</t>
  </si>
  <si>
    <t>Nback2_ResTime</t>
  </si>
  <si>
    <t>Nback3_ResTime</t>
  </si>
  <si>
    <t>Nback4_ResTime</t>
  </si>
  <si>
    <t>Nback5_ResTime</t>
  </si>
  <si>
    <t>Blank1_ResTime</t>
  </si>
  <si>
    <t>Blank2_ResTime</t>
  </si>
  <si>
    <t>Blank3_ResTime</t>
  </si>
  <si>
    <t>Blank4_ResTime</t>
  </si>
  <si>
    <t>Blank5_ResTime</t>
  </si>
  <si>
    <t>None1_ResTime</t>
  </si>
  <si>
    <t>None2_ResTime</t>
  </si>
  <si>
    <t>None3_ResTime</t>
  </si>
  <si>
    <t>None4_ResTime</t>
  </si>
  <si>
    <t>None5_ResTime</t>
  </si>
  <si>
    <t>NbackM_ResTime</t>
  </si>
  <si>
    <t>BlankM_ResTime</t>
  </si>
  <si>
    <t>NoneM_ResTime</t>
  </si>
  <si>
    <t>Nback1_ResTimeMisses</t>
  </si>
  <si>
    <t>Nback2_ResTimeMisses</t>
  </si>
  <si>
    <t>Nback3_ResTimeMisses</t>
  </si>
  <si>
    <t>Nback4_ResTimeMisses</t>
  </si>
  <si>
    <t>Nback5_ResTimeMisses</t>
  </si>
  <si>
    <t>Blank1_ResTimeMisses</t>
  </si>
  <si>
    <t>Blank2_ResTimeMisses</t>
  </si>
  <si>
    <t>Blank3_ResTimeMisses</t>
  </si>
  <si>
    <t>Blank4_ResTimeMisses</t>
  </si>
  <si>
    <t>Blank5_ResTimeMisses</t>
  </si>
  <si>
    <t>None1_ResTimeMisses</t>
  </si>
  <si>
    <t>None2_ResTimeMisses</t>
  </si>
  <si>
    <t>None3_ResTimeMisses</t>
  </si>
  <si>
    <t>None4_ResTimeMisses</t>
  </si>
  <si>
    <t>None5_ResTimeMisses</t>
  </si>
  <si>
    <t>NbackM_ResTimeMisses</t>
  </si>
  <si>
    <t>BlankM_ResTimeMisses</t>
  </si>
  <si>
    <t>NoneM_ResTimeMisses</t>
  </si>
  <si>
    <t>Up Arrow</t>
  </si>
  <si>
    <t>Down Arrow</t>
  </si>
  <si>
    <t>Left Arrow</t>
  </si>
  <si>
    <t>Right Arrow</t>
  </si>
  <si>
    <t>PM Key Macro</t>
  </si>
  <si>
    <t>C05</t>
  </si>
  <si>
    <t xml:space="preserve"> </t>
  </si>
  <si>
    <t>C53</t>
  </si>
  <si>
    <t>C83</t>
  </si>
  <si>
    <t>C85</t>
  </si>
  <si>
    <t>C32</t>
  </si>
  <si>
    <t>C14</t>
  </si>
  <si>
    <t>C16</t>
  </si>
  <si>
    <t>C50</t>
  </si>
  <si>
    <t>C26</t>
  </si>
  <si>
    <t>C96</t>
  </si>
  <si>
    <t>C28</t>
  </si>
  <si>
    <t>C21</t>
  </si>
  <si>
    <t>C63</t>
  </si>
  <si>
    <t>C11</t>
  </si>
  <si>
    <t>C74</t>
  </si>
  <si>
    <t>C61</t>
  </si>
  <si>
    <t>C77</t>
  </si>
  <si>
    <t>C76</t>
  </si>
  <si>
    <t>C45</t>
  </si>
  <si>
    <t>C33</t>
  </si>
  <si>
    <t>C18</t>
  </si>
  <si>
    <t>C47</t>
  </si>
  <si>
    <t>C87</t>
  </si>
  <si>
    <t>C57</t>
  </si>
  <si>
    <t>C36</t>
  </si>
  <si>
    <t>Changed C5 to C05 to match raw results files</t>
  </si>
  <si>
    <t>C01</t>
  </si>
  <si>
    <t>C08</t>
  </si>
  <si>
    <t>C7</t>
  </si>
  <si>
    <t>Macintosh HD:Users:janellebraithwaite:Documents:Programming:Psych:Michael Macro:Phase1:Test:</t>
  </si>
  <si>
    <t>Nback_PM_Fixed</t>
  </si>
  <si>
    <t>Blank_PM_Fixed</t>
  </si>
  <si>
    <t>None_PM_Fixed</t>
  </si>
  <si>
    <t>Nback1_PM_Fixed</t>
  </si>
  <si>
    <t>Nback2_PM_Fixed</t>
  </si>
  <si>
    <t>Nback3_PM_Fixed</t>
  </si>
  <si>
    <t>Nback4_PM_Fixed</t>
  </si>
  <si>
    <t>Nback5_PM_Fixed</t>
  </si>
  <si>
    <t>Blank1_PM_Fixed</t>
  </si>
  <si>
    <t>Blank2_PM_Fixed</t>
  </si>
  <si>
    <t>Blank3_PM_Fixed</t>
  </si>
  <si>
    <t>Blank4_PM_Fixed</t>
  </si>
  <si>
    <t>Blank5_PM_Fixed</t>
  </si>
  <si>
    <t>None1_PM_Fixed</t>
  </si>
  <si>
    <t>None2_PM_Fixed</t>
  </si>
  <si>
    <t>None3_PM_Fixed</t>
  </si>
  <si>
    <t>None4_PM_Fixed</t>
  </si>
  <si>
    <t>None5_PM_Fixed</t>
  </si>
  <si>
    <t>Nback_PM_Valid</t>
  </si>
  <si>
    <t>Blank_PM_Valid</t>
  </si>
  <si>
    <t>None_PM_Valid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</si>
</sst>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2" xfId="0" applyFont="1" applyFill="1" applyBorder="1"/>
    <xf numFmtId="0" fontId="0" fillId="3" borderId="1" xfId="0" applyFont="1" applyFill="1" applyBorder="1" applyAlignment="1">
      <alignment horizontal="center" vertical="top"/>
    </xf>
    <xf numFmtId="0" fontId="0" fillId="3" borderId="2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2" xfId="0" applyFont="1" applyBorder="1" applyAlignment="1">
      <alignment horizontal="center" vertical="top"/>
    </xf>
    <xf numFmtId="0" fontId="0" fillId="4" borderId="3" xfId="0" applyFill="1" applyBorder="1"/>
    <xf numFmtId="0" fontId="2" fillId="5" borderId="4" xfId="0" applyFont="1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6" xfId="0" applyFill="1" applyBorder="1"/>
    <xf numFmtId="0" fontId="0" fillId="7" borderId="4" xfId="0" applyFill="1" applyBorder="1"/>
    <xf numFmtId="0" fontId="0" fillId="7" borderId="6" xfId="0" applyFill="1" applyBorder="1"/>
    <xf numFmtId="0" fontId="5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ont="1" applyFill="1" applyBorder="1" applyAlignment="1">
      <alignment horizontal="center" vertical="top"/>
    </xf>
    <xf numFmtId="0" fontId="0" fillId="3" borderId="2" xfId="0" applyFont="1" applyFill="1" applyBorder="1" applyAlignment="1">
      <alignment horizontal="center" vertical="top"/>
    </xf>
    <xf numFmtId="0" fontId="0" fillId="7" borderId="0" xfId="0" applyFill="1" applyBorder="1"/>
  </cellXfs>
  <cellStyles count="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6"/>
  <sheetViews>
    <sheetView workbookViewId="0">
      <selection activeCell="J36" sqref="J36"/>
    </sheetView>
  </sheetViews>
  <sheetFormatPr baseColWidth="10" defaultRowHeight="15" x14ac:dyDescent="0"/>
  <sheetData>
    <row r="1" spans="1:9">
      <c r="A1" s="21" t="s">
        <v>0</v>
      </c>
      <c r="B1" s="22" t="s">
        <v>1</v>
      </c>
      <c r="C1" s="1" t="s">
        <v>2</v>
      </c>
      <c r="D1" s="1" t="s">
        <v>3</v>
      </c>
      <c r="E1" s="1" t="s">
        <v>4</v>
      </c>
      <c r="F1" s="1" t="s">
        <v>166</v>
      </c>
    </row>
    <row r="2" spans="1:9">
      <c r="A2" s="23" t="s">
        <v>5</v>
      </c>
      <c r="B2" s="24" t="s">
        <v>6</v>
      </c>
      <c r="C2" s="3" t="s">
        <v>7</v>
      </c>
      <c r="D2" s="3">
        <v>56</v>
      </c>
      <c r="E2" s="3">
        <v>217</v>
      </c>
      <c r="F2" s="3" t="str">
        <f t="shared" ref="F2:F3" si="0">VLOOKUP(C2,$H$2:$I$5,2,0)</f>
        <v>Down Arrow</v>
      </c>
      <c r="H2" t="s">
        <v>12</v>
      </c>
      <c r="I2" t="s">
        <v>162</v>
      </c>
    </row>
    <row r="3" spans="1:9">
      <c r="A3" s="4" t="s">
        <v>8</v>
      </c>
      <c r="B3" s="5" t="s">
        <v>9</v>
      </c>
      <c r="C3" s="5" t="s">
        <v>7</v>
      </c>
      <c r="D3" s="5">
        <v>89</v>
      </c>
      <c r="E3" s="5">
        <v>226</v>
      </c>
      <c r="F3" s="5" t="str">
        <f t="shared" si="0"/>
        <v>Down Arrow</v>
      </c>
      <c r="H3" t="s">
        <v>7</v>
      </c>
      <c r="I3" t="s">
        <v>163</v>
      </c>
    </row>
    <row r="4" spans="1:9">
      <c r="A4" s="2" t="s">
        <v>10</v>
      </c>
      <c r="B4" s="3" t="s">
        <v>11</v>
      </c>
      <c r="C4" s="3" t="s">
        <v>12</v>
      </c>
      <c r="D4" s="3">
        <v>32</v>
      </c>
      <c r="E4" s="3">
        <v>190</v>
      </c>
      <c r="F4" s="3" t="str">
        <f>VLOOKUP(C4,$H$2:$I$5,2,0)</f>
        <v>Up Arrow</v>
      </c>
      <c r="H4" t="s">
        <v>24</v>
      </c>
      <c r="I4" t="s">
        <v>164</v>
      </c>
    </row>
    <row r="5" spans="1:9">
      <c r="A5" s="4" t="s">
        <v>13</v>
      </c>
      <c r="B5" s="5" t="s">
        <v>14</v>
      </c>
      <c r="C5" s="5" t="s">
        <v>7</v>
      </c>
      <c r="D5" s="5">
        <v>31</v>
      </c>
      <c r="E5" s="5">
        <v>181</v>
      </c>
      <c r="F5" s="5" t="str">
        <f t="shared" ref="F5:F16" si="1">VLOOKUP(C5,$H$2:$I$5,2,0)</f>
        <v>Down Arrow</v>
      </c>
      <c r="H5" t="s">
        <v>29</v>
      </c>
      <c r="I5" t="s">
        <v>165</v>
      </c>
    </row>
    <row r="6" spans="1:9">
      <c r="A6" s="2" t="s">
        <v>15</v>
      </c>
      <c r="B6" s="3" t="s">
        <v>16</v>
      </c>
      <c r="C6" s="3" t="s">
        <v>12</v>
      </c>
      <c r="D6" s="3">
        <v>89</v>
      </c>
      <c r="E6" s="3">
        <v>249</v>
      </c>
      <c r="F6" s="3" t="str">
        <f t="shared" si="1"/>
        <v>Up Arrow</v>
      </c>
    </row>
    <row r="7" spans="1:9">
      <c r="A7" s="4" t="s">
        <v>17</v>
      </c>
      <c r="B7" s="5" t="s">
        <v>167</v>
      </c>
      <c r="C7" s="5" t="s">
        <v>12</v>
      </c>
      <c r="D7" s="5">
        <v>40</v>
      </c>
      <c r="E7" s="5">
        <v>200</v>
      </c>
      <c r="F7" s="5" t="str">
        <f t="shared" si="1"/>
        <v>Up Arrow</v>
      </c>
      <c r="H7" s="20" t="s">
        <v>193</v>
      </c>
    </row>
    <row r="8" spans="1:9">
      <c r="A8" s="2" t="s">
        <v>18</v>
      </c>
      <c r="B8" s="3" t="s">
        <v>19</v>
      </c>
      <c r="C8" s="3" t="s">
        <v>7</v>
      </c>
      <c r="D8" s="3">
        <v>69</v>
      </c>
      <c r="E8" s="3">
        <v>199</v>
      </c>
      <c r="F8" s="3" t="str">
        <f t="shared" si="1"/>
        <v>Down Arrow</v>
      </c>
    </row>
    <row r="9" spans="1:9">
      <c r="A9" s="4" t="s">
        <v>20</v>
      </c>
      <c r="B9" s="5" t="s">
        <v>21</v>
      </c>
      <c r="C9" s="5" t="s">
        <v>7</v>
      </c>
      <c r="D9" s="5">
        <v>27</v>
      </c>
      <c r="E9" s="5">
        <v>197</v>
      </c>
      <c r="F9" s="5" t="str">
        <f t="shared" si="1"/>
        <v>Down Arrow</v>
      </c>
    </row>
    <row r="10" spans="1:9">
      <c r="A10" s="2" t="s">
        <v>22</v>
      </c>
      <c r="B10" s="3" t="s">
        <v>23</v>
      </c>
      <c r="C10" s="3" t="s">
        <v>24</v>
      </c>
      <c r="D10" s="3">
        <v>73</v>
      </c>
      <c r="E10" s="3">
        <v>213</v>
      </c>
      <c r="F10" s="3" t="str">
        <f t="shared" si="1"/>
        <v>Left Arrow</v>
      </c>
    </row>
    <row r="11" spans="1:9">
      <c r="A11" s="4" t="s">
        <v>25</v>
      </c>
      <c r="B11" s="5" t="s">
        <v>26</v>
      </c>
      <c r="C11" s="5" t="s">
        <v>7</v>
      </c>
      <c r="D11" s="5">
        <v>60</v>
      </c>
      <c r="E11" s="5">
        <v>210</v>
      </c>
      <c r="F11" s="5" t="str">
        <f t="shared" si="1"/>
        <v>Down Arrow</v>
      </c>
    </row>
    <row r="12" spans="1:9">
      <c r="A12" s="2" t="s">
        <v>27</v>
      </c>
      <c r="B12" s="3" t="s">
        <v>28</v>
      </c>
      <c r="C12" s="3" t="s">
        <v>29</v>
      </c>
      <c r="D12" s="3">
        <v>85</v>
      </c>
      <c r="E12" s="3">
        <f>180+41</f>
        <v>221</v>
      </c>
      <c r="F12" s="3" t="str">
        <f t="shared" si="1"/>
        <v>Right Arrow</v>
      </c>
    </row>
    <row r="13" spans="1:9">
      <c r="A13" s="4" t="s">
        <v>30</v>
      </c>
      <c r="B13" s="5" t="s">
        <v>31</v>
      </c>
      <c r="C13" s="5" t="s">
        <v>12</v>
      </c>
      <c r="D13" s="5">
        <v>69</v>
      </c>
      <c r="E13" s="5">
        <v>204</v>
      </c>
      <c r="F13" s="5" t="str">
        <f t="shared" si="1"/>
        <v>Up Arrow</v>
      </c>
    </row>
    <row r="14" spans="1:9">
      <c r="A14" s="2" t="s">
        <v>32</v>
      </c>
      <c r="B14" s="3" t="s">
        <v>33</v>
      </c>
      <c r="C14" s="3" t="s">
        <v>12</v>
      </c>
      <c r="D14" s="3">
        <v>53</v>
      </c>
      <c r="E14" s="3">
        <v>182</v>
      </c>
      <c r="F14" s="3" t="str">
        <f t="shared" si="1"/>
        <v>Up Arrow</v>
      </c>
    </row>
    <row r="15" spans="1:9">
      <c r="A15" s="4" t="s">
        <v>34</v>
      </c>
      <c r="B15" s="5" t="s">
        <v>35</v>
      </c>
      <c r="C15" s="5" t="s">
        <v>7</v>
      </c>
      <c r="D15" s="5">
        <v>59</v>
      </c>
      <c r="E15" s="5">
        <v>210</v>
      </c>
      <c r="F15" s="5" t="str">
        <f t="shared" si="1"/>
        <v>Down Arrow</v>
      </c>
    </row>
    <row r="16" spans="1:9">
      <c r="A16" s="2" t="s">
        <v>36</v>
      </c>
      <c r="B16" s="3" t="s">
        <v>37</v>
      </c>
      <c r="C16" s="3" t="s">
        <v>24</v>
      </c>
      <c r="D16" s="3">
        <v>81</v>
      </c>
      <c r="E16" s="3">
        <v>243</v>
      </c>
      <c r="F16" s="3" t="str">
        <f t="shared" si="1"/>
        <v>Left Arrow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45"/>
  <sheetViews>
    <sheetView tabSelected="1" topLeftCell="A124" workbookViewId="0">
      <selection activeCell="F145" sqref="F145"/>
    </sheetView>
  </sheetViews>
  <sheetFormatPr baseColWidth="10" defaultRowHeight="15" x14ac:dyDescent="0"/>
  <cols>
    <col min="1" max="1" width="31.5" customWidth="1"/>
  </cols>
  <sheetData>
    <row r="1" spans="1:4" ht="16" thickBot="1">
      <c r="A1" s="6" t="s">
        <v>38</v>
      </c>
    </row>
    <row r="2" spans="1:4" ht="16" thickBot="1">
      <c r="A2" s="7" t="s">
        <v>39</v>
      </c>
    </row>
    <row r="3" spans="1:4" ht="16" thickBot="1">
      <c r="A3" s="7" t="s">
        <v>40</v>
      </c>
    </row>
    <row r="4" spans="1:4" ht="16" thickBot="1">
      <c r="A4" s="7" t="s">
        <v>41</v>
      </c>
    </row>
    <row r="5" spans="1:4" ht="16" thickBot="1">
      <c r="A5" s="7" t="s">
        <v>42</v>
      </c>
    </row>
    <row r="6" spans="1:4" ht="16" thickBot="1">
      <c r="A6" s="7" t="s">
        <v>43</v>
      </c>
    </row>
    <row r="7" spans="1:4" ht="16" thickBot="1">
      <c r="A7" s="7" t="s">
        <v>44</v>
      </c>
    </row>
    <row r="8" spans="1:4" ht="16" thickBot="1">
      <c r="A8" s="7" t="s">
        <v>45</v>
      </c>
    </row>
    <row r="9" spans="1:4" ht="16" thickBot="1">
      <c r="A9" s="7" t="s">
        <v>46</v>
      </c>
    </row>
    <row r="10" spans="1:4" ht="16" thickBot="1">
      <c r="A10" s="7" t="s">
        <v>47</v>
      </c>
    </row>
    <row r="11" spans="1:4" ht="16" thickBot="1">
      <c r="A11" s="7" t="s">
        <v>48</v>
      </c>
      <c r="D11" t="s">
        <v>168</v>
      </c>
    </row>
    <row r="12" spans="1:4" ht="16" thickBot="1">
      <c r="A12" s="7" t="s">
        <v>49</v>
      </c>
    </row>
    <row r="13" spans="1:4" ht="16" thickBot="1">
      <c r="A13" s="7" t="s">
        <v>50</v>
      </c>
    </row>
    <row r="14" spans="1:4" ht="16" thickBot="1">
      <c r="A14" s="7" t="s">
        <v>51</v>
      </c>
    </row>
    <row r="15" spans="1:4" ht="16" thickBot="1">
      <c r="A15" s="7" t="s">
        <v>52</v>
      </c>
    </row>
    <row r="16" spans="1:4" ht="16" thickBot="1">
      <c r="A16" s="7" t="s">
        <v>53</v>
      </c>
    </row>
    <row r="17" spans="1:1" ht="16" thickBot="1">
      <c r="A17" s="8" t="s">
        <v>54</v>
      </c>
    </row>
    <row r="18" spans="1:1" ht="16" thickBot="1">
      <c r="A18" s="9" t="s">
        <v>55</v>
      </c>
    </row>
    <row r="19" spans="1:1" ht="16" thickBot="1">
      <c r="A19" s="9" t="s">
        <v>56</v>
      </c>
    </row>
    <row r="20" spans="1:1" ht="16" thickBot="1">
      <c r="A20" s="9" t="s">
        <v>57</v>
      </c>
    </row>
    <row r="21" spans="1:1" ht="16" thickBot="1">
      <c r="A21" s="9" t="s">
        <v>58</v>
      </c>
    </row>
    <row r="22" spans="1:1" ht="16" thickBot="1">
      <c r="A22" s="9" t="s">
        <v>59</v>
      </c>
    </row>
    <row r="23" spans="1:1" ht="16" thickBot="1">
      <c r="A23" s="9" t="s">
        <v>60</v>
      </c>
    </row>
    <row r="24" spans="1:1" ht="16" thickBot="1">
      <c r="A24" s="9" t="s">
        <v>61</v>
      </c>
    </row>
    <row r="25" spans="1:1" ht="16" thickBot="1">
      <c r="A25" s="9" t="s">
        <v>62</v>
      </c>
    </row>
    <row r="26" spans="1:1" ht="16" thickBot="1">
      <c r="A26" s="9" t="s">
        <v>63</v>
      </c>
    </row>
    <row r="27" spans="1:1" ht="16" thickBot="1">
      <c r="A27" s="9" t="s">
        <v>64</v>
      </c>
    </row>
    <row r="28" spans="1:1" ht="16" thickBot="1">
      <c r="A28" s="9" t="s">
        <v>65</v>
      </c>
    </row>
    <row r="29" spans="1:1" ht="16" thickBot="1">
      <c r="A29" s="9" t="s">
        <v>66</v>
      </c>
    </row>
    <row r="30" spans="1:1" ht="16" thickBot="1">
      <c r="A30" s="9" t="s">
        <v>67</v>
      </c>
    </row>
    <row r="31" spans="1:1" ht="16" thickBot="1">
      <c r="A31" s="10" t="s">
        <v>68</v>
      </c>
    </row>
    <row r="32" spans="1:1" ht="16" thickBot="1">
      <c r="A32" s="11" t="s">
        <v>69</v>
      </c>
    </row>
    <row r="33" spans="1:1" ht="16" thickBot="1">
      <c r="A33" s="11" t="s">
        <v>70</v>
      </c>
    </row>
    <row r="34" spans="1:1" ht="16" thickBot="1">
      <c r="A34" s="11" t="s">
        <v>71</v>
      </c>
    </row>
    <row r="35" spans="1:1" ht="16" thickBot="1">
      <c r="A35" s="12" t="s">
        <v>72</v>
      </c>
    </row>
    <row r="36" spans="1:1" ht="16" thickBot="1">
      <c r="A36" s="13" t="s">
        <v>73</v>
      </c>
    </row>
    <row r="37" spans="1:1" ht="16" thickBot="1">
      <c r="A37" s="13" t="s">
        <v>74</v>
      </c>
    </row>
    <row r="38" spans="1:1" ht="16" thickBot="1">
      <c r="A38" s="13" t="s">
        <v>75</v>
      </c>
    </row>
    <row r="39" spans="1:1" ht="16" thickBot="1">
      <c r="A39" s="13" t="s">
        <v>76</v>
      </c>
    </row>
    <row r="40" spans="1:1" ht="16" thickBot="1">
      <c r="A40" s="13" t="s">
        <v>77</v>
      </c>
    </row>
    <row r="41" spans="1:1" ht="16" thickBot="1">
      <c r="A41" s="13" t="s">
        <v>78</v>
      </c>
    </row>
    <row r="42" spans="1:1" ht="16" thickBot="1">
      <c r="A42" s="13" t="s">
        <v>79</v>
      </c>
    </row>
    <row r="43" spans="1:1" ht="16" thickBot="1">
      <c r="A43" s="13" t="s">
        <v>80</v>
      </c>
    </row>
    <row r="44" spans="1:1" ht="16" thickBot="1">
      <c r="A44" s="13" t="s">
        <v>81</v>
      </c>
    </row>
    <row r="45" spans="1:1" ht="16" thickBot="1">
      <c r="A45" s="13" t="s">
        <v>82</v>
      </c>
    </row>
    <row r="46" spans="1:1" ht="16" thickBot="1">
      <c r="A46" s="13" t="s">
        <v>83</v>
      </c>
    </row>
    <row r="47" spans="1:1" ht="16" thickBot="1">
      <c r="A47" s="13" t="s">
        <v>84</v>
      </c>
    </row>
    <row r="48" spans="1:1" ht="16" thickBot="1">
      <c r="A48" s="13" t="s">
        <v>85</v>
      </c>
    </row>
    <row r="49" spans="1:1" ht="16" thickBot="1">
      <c r="A49" s="14" t="s">
        <v>86</v>
      </c>
    </row>
    <row r="50" spans="1:1" ht="16" thickBot="1">
      <c r="A50" s="11" t="s">
        <v>87</v>
      </c>
    </row>
    <row r="51" spans="1:1" ht="16" thickBot="1">
      <c r="A51" s="11" t="s">
        <v>88</v>
      </c>
    </row>
    <row r="52" spans="1:1" ht="16" thickBot="1">
      <c r="A52" s="11" t="s">
        <v>89</v>
      </c>
    </row>
    <row r="53" spans="1:1" ht="16" thickBot="1">
      <c r="A53" s="12" t="s">
        <v>90</v>
      </c>
    </row>
    <row r="54" spans="1:1" ht="16" thickBot="1">
      <c r="A54" s="13" t="s">
        <v>91</v>
      </c>
    </row>
    <row r="55" spans="1:1" ht="16" thickBot="1">
      <c r="A55" s="13" t="s">
        <v>92</v>
      </c>
    </row>
    <row r="56" spans="1:1" ht="16" thickBot="1">
      <c r="A56" s="13" t="s">
        <v>93</v>
      </c>
    </row>
    <row r="57" spans="1:1" ht="16" thickBot="1">
      <c r="A57" s="13" t="s">
        <v>94</v>
      </c>
    </row>
    <row r="58" spans="1:1" ht="16" thickBot="1">
      <c r="A58" s="13" t="s">
        <v>95</v>
      </c>
    </row>
    <row r="59" spans="1:1" ht="16" thickBot="1">
      <c r="A59" s="13" t="s">
        <v>96</v>
      </c>
    </row>
    <row r="60" spans="1:1" ht="16" thickBot="1">
      <c r="A60" s="13" t="s">
        <v>97</v>
      </c>
    </row>
    <row r="61" spans="1:1" ht="16" thickBot="1">
      <c r="A61" s="13" t="s">
        <v>98</v>
      </c>
    </row>
    <row r="62" spans="1:1" ht="16" thickBot="1">
      <c r="A62" s="13" t="s">
        <v>99</v>
      </c>
    </row>
    <row r="63" spans="1:1" ht="16" thickBot="1">
      <c r="A63" s="13" t="s">
        <v>100</v>
      </c>
    </row>
    <row r="64" spans="1:1" ht="16" thickBot="1">
      <c r="A64" s="13" t="s">
        <v>101</v>
      </c>
    </row>
    <row r="65" spans="1:1" ht="16" thickBot="1">
      <c r="A65" s="13" t="s">
        <v>102</v>
      </c>
    </row>
    <row r="66" spans="1:1" ht="16" thickBot="1">
      <c r="A66" s="13" t="s">
        <v>103</v>
      </c>
    </row>
    <row r="67" spans="1:1" ht="16" thickBot="1">
      <c r="A67" s="14" t="s">
        <v>104</v>
      </c>
    </row>
    <row r="68" spans="1:1" ht="16" thickBot="1">
      <c r="A68" s="11" t="s">
        <v>105</v>
      </c>
    </row>
    <row r="69" spans="1:1" ht="16" thickBot="1">
      <c r="A69" s="11" t="s">
        <v>106</v>
      </c>
    </row>
    <row r="70" spans="1:1" ht="16" thickBot="1">
      <c r="A70" s="11" t="s">
        <v>107</v>
      </c>
    </row>
    <row r="71" spans="1:1" ht="16" thickBot="1">
      <c r="A71" s="12" t="s">
        <v>108</v>
      </c>
    </row>
    <row r="72" spans="1:1" ht="16" thickBot="1">
      <c r="A72" s="13" t="s">
        <v>109</v>
      </c>
    </row>
    <row r="73" spans="1:1" ht="16" thickBot="1">
      <c r="A73" s="13" t="s">
        <v>110</v>
      </c>
    </row>
    <row r="74" spans="1:1" ht="16" thickBot="1">
      <c r="A74" s="13" t="s">
        <v>111</v>
      </c>
    </row>
    <row r="75" spans="1:1" ht="16" thickBot="1">
      <c r="A75" s="13" t="s">
        <v>112</v>
      </c>
    </row>
    <row r="76" spans="1:1" ht="16" thickBot="1">
      <c r="A76" s="13" t="s">
        <v>113</v>
      </c>
    </row>
    <row r="77" spans="1:1" ht="16" thickBot="1">
      <c r="A77" s="13" t="s">
        <v>114</v>
      </c>
    </row>
    <row r="78" spans="1:1" ht="16" thickBot="1">
      <c r="A78" s="13" t="s">
        <v>115</v>
      </c>
    </row>
    <row r="79" spans="1:1" ht="16" thickBot="1">
      <c r="A79" s="13" t="s">
        <v>116</v>
      </c>
    </row>
    <row r="80" spans="1:1" ht="16" thickBot="1">
      <c r="A80" s="13" t="s">
        <v>117</v>
      </c>
    </row>
    <row r="81" spans="1:1" ht="16" thickBot="1">
      <c r="A81" s="13" t="s">
        <v>118</v>
      </c>
    </row>
    <row r="82" spans="1:1" ht="16" thickBot="1">
      <c r="A82" s="13" t="s">
        <v>119</v>
      </c>
    </row>
    <row r="83" spans="1:1" ht="16" thickBot="1">
      <c r="A83" s="13" t="s">
        <v>120</v>
      </c>
    </row>
    <row r="84" spans="1:1" ht="16" thickBot="1">
      <c r="A84" s="13" t="s">
        <v>121</v>
      </c>
    </row>
    <row r="85" spans="1:1" ht="16" thickBot="1">
      <c r="A85" s="14" t="s">
        <v>122</v>
      </c>
    </row>
    <row r="86" spans="1:1" ht="16" thickBot="1">
      <c r="A86" s="11" t="s">
        <v>123</v>
      </c>
    </row>
    <row r="87" spans="1:1" ht="16" thickBot="1">
      <c r="A87" s="11" t="s">
        <v>124</v>
      </c>
    </row>
    <row r="88" spans="1:1" ht="16" thickBot="1">
      <c r="A88" s="11" t="s">
        <v>125</v>
      </c>
    </row>
    <row r="89" spans="1:1" ht="16" thickBot="1">
      <c r="A89" s="15" t="s">
        <v>126</v>
      </c>
    </row>
    <row r="90" spans="1:1" ht="16" thickBot="1">
      <c r="A90" s="16" t="s">
        <v>127</v>
      </c>
    </row>
    <row r="91" spans="1:1" ht="16" thickBot="1">
      <c r="A91" s="16" t="s">
        <v>128</v>
      </c>
    </row>
    <row r="92" spans="1:1" ht="16" thickBot="1">
      <c r="A92" s="16" t="s">
        <v>129</v>
      </c>
    </row>
    <row r="93" spans="1:1" ht="16" thickBot="1">
      <c r="A93" s="16" t="s">
        <v>130</v>
      </c>
    </row>
    <row r="94" spans="1:1" ht="16" thickBot="1">
      <c r="A94" s="16" t="s">
        <v>131</v>
      </c>
    </row>
    <row r="95" spans="1:1" ht="16" thickBot="1">
      <c r="A95" s="16" t="s">
        <v>132</v>
      </c>
    </row>
    <row r="96" spans="1:1" ht="16" thickBot="1">
      <c r="A96" s="16" t="s">
        <v>133</v>
      </c>
    </row>
    <row r="97" spans="1:1" ht="16" thickBot="1">
      <c r="A97" s="16" t="s">
        <v>134</v>
      </c>
    </row>
    <row r="98" spans="1:1" ht="16" thickBot="1">
      <c r="A98" s="16" t="s">
        <v>135</v>
      </c>
    </row>
    <row r="99" spans="1:1" ht="16" thickBot="1">
      <c r="A99" s="16" t="s">
        <v>136</v>
      </c>
    </row>
    <row r="100" spans="1:1" ht="16" thickBot="1">
      <c r="A100" s="16" t="s">
        <v>137</v>
      </c>
    </row>
    <row r="101" spans="1:1" ht="16" thickBot="1">
      <c r="A101" s="16" t="s">
        <v>138</v>
      </c>
    </row>
    <row r="102" spans="1:1" ht="16" thickBot="1">
      <c r="A102" s="16" t="s">
        <v>139</v>
      </c>
    </row>
    <row r="103" spans="1:1" ht="16" thickBot="1">
      <c r="A103" s="17" t="s">
        <v>140</v>
      </c>
    </row>
    <row r="104" spans="1:1" ht="16" thickBot="1">
      <c r="A104" s="18" t="s">
        <v>141</v>
      </c>
    </row>
    <row r="105" spans="1:1" ht="16" thickBot="1">
      <c r="A105" s="11" t="s">
        <v>142</v>
      </c>
    </row>
    <row r="106" spans="1:1" ht="16" thickBot="1">
      <c r="A106" s="19" t="s">
        <v>143</v>
      </c>
    </row>
    <row r="107" spans="1:1" ht="16" thickBot="1">
      <c r="A107" s="15" t="s">
        <v>144</v>
      </c>
    </row>
    <row r="108" spans="1:1" ht="16" thickBot="1">
      <c r="A108" s="16" t="s">
        <v>145</v>
      </c>
    </row>
    <row r="109" spans="1:1" ht="16" thickBot="1">
      <c r="A109" s="16" t="s">
        <v>146</v>
      </c>
    </row>
    <row r="110" spans="1:1" ht="16" thickBot="1">
      <c r="A110" s="16" t="s">
        <v>147</v>
      </c>
    </row>
    <row r="111" spans="1:1" ht="16" thickBot="1">
      <c r="A111" s="16" t="s">
        <v>148</v>
      </c>
    </row>
    <row r="112" spans="1:1" ht="16" thickBot="1">
      <c r="A112" s="16" t="s">
        <v>149</v>
      </c>
    </row>
    <row r="113" spans="1:1" ht="16" thickBot="1">
      <c r="A113" s="16" t="s">
        <v>150</v>
      </c>
    </row>
    <row r="114" spans="1:1" ht="16" thickBot="1">
      <c r="A114" s="16" t="s">
        <v>151</v>
      </c>
    </row>
    <row r="115" spans="1:1" ht="16" thickBot="1">
      <c r="A115" s="16" t="s">
        <v>152</v>
      </c>
    </row>
    <row r="116" spans="1:1" ht="16" thickBot="1">
      <c r="A116" s="16" t="s">
        <v>153</v>
      </c>
    </row>
    <row r="117" spans="1:1" ht="16" thickBot="1">
      <c r="A117" s="16" t="s">
        <v>154</v>
      </c>
    </row>
    <row r="118" spans="1:1" ht="16" thickBot="1">
      <c r="A118" s="16" t="s">
        <v>155</v>
      </c>
    </row>
    <row r="119" spans="1:1" ht="16" thickBot="1">
      <c r="A119" s="16" t="s">
        <v>156</v>
      </c>
    </row>
    <row r="120" spans="1:1" ht="16" thickBot="1">
      <c r="A120" s="16" t="s">
        <v>157</v>
      </c>
    </row>
    <row r="121" spans="1:1" ht="16" thickBot="1">
      <c r="A121" s="17" t="s">
        <v>158</v>
      </c>
    </row>
    <row r="122" spans="1:1" ht="16" thickBot="1">
      <c r="A122" s="18" t="s">
        <v>159</v>
      </c>
    </row>
    <row r="123" spans="1:1" ht="16" thickBot="1">
      <c r="A123" s="11" t="s">
        <v>160</v>
      </c>
    </row>
    <row r="124" spans="1:1" ht="16" thickBot="1">
      <c r="A124" s="19" t="s">
        <v>161</v>
      </c>
    </row>
    <row r="125" spans="1:1" ht="16" thickBot="1">
      <c r="A125" s="15" t="s">
        <v>201</v>
      </c>
    </row>
    <row r="126" spans="1:1" ht="16" thickBot="1">
      <c r="A126" s="16" t="s">
        <v>202</v>
      </c>
    </row>
    <row r="127" spans="1:1" ht="16" thickBot="1">
      <c r="A127" s="16" t="s">
        <v>203</v>
      </c>
    </row>
    <row r="128" spans="1:1" ht="16" thickBot="1">
      <c r="A128" s="16" t="s">
        <v>204</v>
      </c>
    </row>
    <row r="129" spans="1:1" ht="16" thickBot="1">
      <c r="A129" s="16" t="s">
        <v>205</v>
      </c>
    </row>
    <row r="130" spans="1:1" ht="16" thickBot="1">
      <c r="A130" s="16" t="s">
        <v>206</v>
      </c>
    </row>
    <row r="131" spans="1:1" ht="16" thickBot="1">
      <c r="A131" s="16" t="s">
        <v>207</v>
      </c>
    </row>
    <row r="132" spans="1:1" ht="16" thickBot="1">
      <c r="A132" s="16" t="s">
        <v>208</v>
      </c>
    </row>
    <row r="133" spans="1:1" ht="16" thickBot="1">
      <c r="A133" s="16" t="s">
        <v>209</v>
      </c>
    </row>
    <row r="134" spans="1:1" ht="16" thickBot="1">
      <c r="A134" s="16" t="s">
        <v>210</v>
      </c>
    </row>
    <row r="135" spans="1:1" ht="16" thickBot="1">
      <c r="A135" s="16" t="s">
        <v>211</v>
      </c>
    </row>
    <row r="136" spans="1:1" ht="16" thickBot="1">
      <c r="A136" s="16" t="s">
        <v>212</v>
      </c>
    </row>
    <row r="137" spans="1:1" ht="16" thickBot="1">
      <c r="A137" s="16" t="s">
        <v>213</v>
      </c>
    </row>
    <row r="138" spans="1:1" ht="16" thickBot="1">
      <c r="A138" s="16" t="s">
        <v>214</v>
      </c>
    </row>
    <row r="139" spans="1:1" ht="16" thickBot="1">
      <c r="A139" s="17" t="s">
        <v>215</v>
      </c>
    </row>
    <row r="140" spans="1:1">
      <c r="A140" s="25" t="s">
        <v>198</v>
      </c>
    </row>
    <row r="141" spans="1:1">
      <c r="A141" s="25" t="s">
        <v>199</v>
      </c>
    </row>
    <row r="142" spans="1:1">
      <c r="A142" s="25" t="s">
        <v>200</v>
      </c>
    </row>
    <row r="143" spans="1:1">
      <c r="A143" s="25" t="s">
        <v>216</v>
      </c>
    </row>
    <row r="144" spans="1:1">
      <c r="A144" s="25" t="s">
        <v>217</v>
      </c>
    </row>
    <row r="145" spans="1:1">
      <c r="A145" s="25" t="s">
        <v>218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T16"/>
  <sheetViews>
    <sheetView workbookViewId="0">
      <selection activeCell="J5" sqref="J5"/>
    </sheetView>
  </sheetViews>
  <sheetFormatPr baseColWidth="10" defaultRowHeight="15" x14ac:dyDescent="0"/>
  <sheetData>
    <row r="1" spans="1:12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106</v>
      </c>
      <c r="BR1" t="s">
        <v>107</v>
      </c>
      <c r="BS1" t="s">
        <v>108</v>
      </c>
      <c r="BT1" t="s">
        <v>109</v>
      </c>
      <c r="BU1" t="s">
        <v>110</v>
      </c>
      <c r="BV1" t="s">
        <v>111</v>
      </c>
      <c r="BW1" t="s">
        <v>112</v>
      </c>
      <c r="BX1" t="s">
        <v>113</v>
      </c>
      <c r="BY1" t="s">
        <v>114</v>
      </c>
      <c r="BZ1" t="s">
        <v>115</v>
      </c>
      <c r="CA1" t="s">
        <v>116</v>
      </c>
      <c r="CB1" t="s">
        <v>117</v>
      </c>
      <c r="CC1" t="s">
        <v>118</v>
      </c>
      <c r="CD1" t="s">
        <v>119</v>
      </c>
      <c r="CE1" t="s">
        <v>120</v>
      </c>
      <c r="CF1" t="s">
        <v>121</v>
      </c>
      <c r="CG1" t="s">
        <v>122</v>
      </c>
      <c r="CH1" t="s">
        <v>123</v>
      </c>
      <c r="CI1" t="s">
        <v>124</v>
      </c>
      <c r="CJ1" t="s">
        <v>125</v>
      </c>
      <c r="CK1" t="s">
        <v>126</v>
      </c>
      <c r="CL1" t="s">
        <v>127</v>
      </c>
      <c r="CM1" t="s">
        <v>128</v>
      </c>
      <c r="CN1" t="s">
        <v>129</v>
      </c>
      <c r="CO1" t="s">
        <v>130</v>
      </c>
      <c r="CP1" t="s">
        <v>131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137</v>
      </c>
      <c r="CW1" t="s">
        <v>138</v>
      </c>
      <c r="CX1" t="s">
        <v>139</v>
      </c>
      <c r="CY1" t="s">
        <v>140</v>
      </c>
      <c r="CZ1" t="s">
        <v>141</v>
      </c>
      <c r="DA1" t="s">
        <v>142</v>
      </c>
      <c r="DB1" t="s">
        <v>143</v>
      </c>
      <c r="DC1" t="s">
        <v>144</v>
      </c>
      <c r="DD1" t="s">
        <v>145</v>
      </c>
      <c r="DE1" t="s">
        <v>146</v>
      </c>
      <c r="DF1" t="s">
        <v>147</v>
      </c>
      <c r="DG1" t="s">
        <v>148</v>
      </c>
      <c r="DH1" t="s">
        <v>149</v>
      </c>
      <c r="DI1" t="s">
        <v>150</v>
      </c>
      <c r="DJ1" t="s">
        <v>151</v>
      </c>
      <c r="DK1" t="s">
        <v>152</v>
      </c>
      <c r="DL1" t="s">
        <v>153</v>
      </c>
      <c r="DM1" t="s">
        <v>154</v>
      </c>
      <c r="DN1" t="s">
        <v>155</v>
      </c>
      <c r="DO1" t="s">
        <v>156</v>
      </c>
      <c r="DP1" t="s">
        <v>157</v>
      </c>
      <c r="DQ1" t="s">
        <v>158</v>
      </c>
      <c r="DR1" t="s">
        <v>159</v>
      </c>
      <c r="DS1" t="s">
        <v>160</v>
      </c>
      <c r="DT1" t="s">
        <v>161</v>
      </c>
    </row>
    <row r="2" spans="1:124">
      <c r="A2">
        <v>1</v>
      </c>
      <c r="B2" t="s">
        <v>169</v>
      </c>
      <c r="C2" t="s">
        <v>170</v>
      </c>
      <c r="D2">
        <v>147</v>
      </c>
      <c r="F2">
        <v>170</v>
      </c>
      <c r="G2">
        <v>23</v>
      </c>
      <c r="H2">
        <v>120</v>
      </c>
      <c r="I2">
        <v>147</v>
      </c>
    </row>
    <row r="3" spans="1:124">
      <c r="A3">
        <v>2</v>
      </c>
      <c r="B3" t="s">
        <v>171</v>
      </c>
      <c r="C3" t="s">
        <v>172</v>
      </c>
      <c r="D3">
        <v>169</v>
      </c>
      <c r="F3">
        <v>180</v>
      </c>
      <c r="G3">
        <v>11</v>
      </c>
      <c r="H3">
        <v>142</v>
      </c>
      <c r="I3">
        <v>169</v>
      </c>
    </row>
    <row r="4" spans="1:124">
      <c r="A4">
        <v>3</v>
      </c>
      <c r="B4" t="s">
        <v>173</v>
      </c>
      <c r="C4" t="s">
        <v>196</v>
      </c>
      <c r="D4">
        <v>122</v>
      </c>
      <c r="F4">
        <v>142</v>
      </c>
      <c r="G4">
        <v>20</v>
      </c>
      <c r="H4">
        <v>95</v>
      </c>
      <c r="I4">
        <v>122</v>
      </c>
    </row>
    <row r="5" spans="1:124">
      <c r="A5">
        <v>4</v>
      </c>
      <c r="B5" t="s">
        <v>174</v>
      </c>
      <c r="C5" t="s">
        <v>6</v>
      </c>
      <c r="D5">
        <v>123</v>
      </c>
      <c r="F5">
        <v>134</v>
      </c>
      <c r="G5">
        <v>11</v>
      </c>
      <c r="H5">
        <v>96</v>
      </c>
      <c r="I5">
        <v>123</v>
      </c>
    </row>
    <row r="6" spans="1:124">
      <c r="A6">
        <v>5</v>
      </c>
      <c r="B6" t="s">
        <v>175</v>
      </c>
      <c r="C6" t="s">
        <v>176</v>
      </c>
      <c r="D6">
        <v>175</v>
      </c>
      <c r="F6">
        <v>192</v>
      </c>
      <c r="G6">
        <v>17</v>
      </c>
      <c r="H6">
        <v>148</v>
      </c>
      <c r="I6">
        <v>175</v>
      </c>
    </row>
    <row r="7" spans="1:124">
      <c r="A7">
        <v>6</v>
      </c>
      <c r="B7" t="s">
        <v>194</v>
      </c>
      <c r="C7" t="s">
        <v>35</v>
      </c>
      <c r="D7">
        <v>123</v>
      </c>
      <c r="F7">
        <v>137</v>
      </c>
      <c r="G7">
        <v>14</v>
      </c>
      <c r="H7">
        <v>96</v>
      </c>
      <c r="I7">
        <v>123</v>
      </c>
    </row>
    <row r="8" spans="1:124">
      <c r="A8">
        <v>7</v>
      </c>
      <c r="B8" t="s">
        <v>177</v>
      </c>
      <c r="C8" t="s">
        <v>195</v>
      </c>
      <c r="D8">
        <v>150</v>
      </c>
      <c r="F8">
        <v>170</v>
      </c>
      <c r="G8">
        <v>20</v>
      </c>
      <c r="H8">
        <v>123</v>
      </c>
      <c r="I8">
        <v>150</v>
      </c>
    </row>
    <row r="9" spans="1:124">
      <c r="A9">
        <v>8</v>
      </c>
      <c r="B9" t="s">
        <v>178</v>
      </c>
      <c r="C9" t="s">
        <v>179</v>
      </c>
      <c r="D9">
        <v>118</v>
      </c>
      <c r="F9">
        <v>139</v>
      </c>
      <c r="G9">
        <v>21</v>
      </c>
      <c r="H9">
        <v>91</v>
      </c>
      <c r="I9">
        <v>118</v>
      </c>
    </row>
    <row r="10" spans="1:124">
      <c r="A10">
        <v>9</v>
      </c>
      <c r="B10" t="s">
        <v>180</v>
      </c>
      <c r="C10" t="s">
        <v>181</v>
      </c>
      <c r="D10">
        <v>160</v>
      </c>
      <c r="F10">
        <v>176</v>
      </c>
      <c r="G10">
        <v>16</v>
      </c>
      <c r="H10">
        <v>133</v>
      </c>
      <c r="I10">
        <v>160</v>
      </c>
    </row>
    <row r="11" spans="1:124">
      <c r="A11">
        <v>10</v>
      </c>
      <c r="B11" t="s">
        <v>9</v>
      </c>
      <c r="C11" t="s">
        <v>182</v>
      </c>
      <c r="D11">
        <v>150</v>
      </c>
      <c r="F11">
        <v>162</v>
      </c>
      <c r="G11">
        <v>12</v>
      </c>
      <c r="H11">
        <v>123</v>
      </c>
      <c r="I11">
        <v>150</v>
      </c>
    </row>
    <row r="12" spans="1:124">
      <c r="A12">
        <v>11</v>
      </c>
      <c r="B12" t="s">
        <v>183</v>
      </c>
      <c r="C12" t="s">
        <v>184</v>
      </c>
      <c r="D12">
        <v>171</v>
      </c>
      <c r="F12">
        <v>190</v>
      </c>
      <c r="G12">
        <v>19</v>
      </c>
      <c r="H12">
        <v>144</v>
      </c>
      <c r="I12">
        <v>171</v>
      </c>
    </row>
    <row r="13" spans="1:124">
      <c r="A13">
        <v>12</v>
      </c>
      <c r="B13" t="s">
        <v>185</v>
      </c>
      <c r="C13" t="s">
        <v>186</v>
      </c>
      <c r="D13">
        <v>147</v>
      </c>
      <c r="F13">
        <v>170</v>
      </c>
      <c r="G13">
        <v>23</v>
      </c>
      <c r="H13">
        <v>120</v>
      </c>
      <c r="I13">
        <v>147</v>
      </c>
    </row>
    <row r="14" spans="1:124">
      <c r="A14">
        <v>13</v>
      </c>
      <c r="B14" t="s">
        <v>187</v>
      </c>
      <c r="C14" t="s">
        <v>188</v>
      </c>
      <c r="D14">
        <v>133</v>
      </c>
      <c r="F14">
        <v>148</v>
      </c>
      <c r="G14">
        <v>15</v>
      </c>
      <c r="H14">
        <v>106</v>
      </c>
      <c r="I14">
        <v>133</v>
      </c>
    </row>
    <row r="15" spans="1:124">
      <c r="A15">
        <v>14</v>
      </c>
      <c r="B15" t="s">
        <v>189</v>
      </c>
      <c r="C15" t="s">
        <v>190</v>
      </c>
      <c r="D15">
        <v>138</v>
      </c>
      <c r="F15">
        <v>156</v>
      </c>
      <c r="G15">
        <v>18</v>
      </c>
      <c r="H15">
        <v>111</v>
      </c>
      <c r="I15">
        <v>138</v>
      </c>
    </row>
    <row r="16" spans="1:124">
      <c r="A16">
        <v>15</v>
      </c>
      <c r="B16" t="s">
        <v>191</v>
      </c>
      <c r="C16" t="s">
        <v>192</v>
      </c>
      <c r="D16">
        <v>171</v>
      </c>
      <c r="F16">
        <v>187</v>
      </c>
      <c r="G16">
        <v>16</v>
      </c>
      <c r="H16">
        <v>144</v>
      </c>
      <c r="I16">
        <v>171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>
      <selection activeCell="H9" sqref="H9"/>
    </sheetView>
  </sheetViews>
  <sheetFormatPr baseColWidth="10" defaultRowHeight="15" x14ac:dyDescent="0"/>
  <sheetData>
    <row r="1" spans="1:1">
      <c r="A1" t="s">
        <v>197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PMAircraft</vt:lpstr>
      <vt:lpstr>OutputHeadings</vt:lpstr>
      <vt:lpstr>ResumptionAircraft</vt:lpstr>
      <vt:lpstr>Directory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Janelle Braithwaite</dc:creator>
  <cp:lastModifiedBy>Janelle Braithwaite</cp:lastModifiedBy>
  <dcterms:created xsi:type="dcterms:W3CDTF">2015-06-08T00:08:12Z</dcterms:created>
  <dcterms:modified xsi:type="dcterms:W3CDTF">2015-07-29T04:05:13Z</dcterms:modified>
</cp:coreProperties>
</file>