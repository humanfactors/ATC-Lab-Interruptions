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20511181\Google Drive\PhD Current Work\Experiment 2\ATCLab Condition Sorter Mike v2.7 FINAL\"/>
    </mc:Choice>
  </mc:AlternateContent>
  <bookViews>
    <workbookView xWindow="0" yWindow="0" windowWidth="12600" windowHeight="360" activeTab="5"/>
  </bookViews>
  <sheets>
    <sheet name="Raw" sheetId="1" r:id="rId1"/>
    <sheet name="CountsPerParticipant" sheetId="5" r:id="rId2"/>
    <sheet name="Participant output" sheetId="6" r:id="rId3"/>
    <sheet name="Macro Test" sheetId="2" r:id="rId4"/>
    <sheet name="Macro Create" sheetId="3" r:id="rId5"/>
    <sheet name="Charts" sheetId="4" r:id="rId6"/>
    <sheet name="Sheet7" sheetId="7" r:id="rId7"/>
  </sheets>
  <definedNames>
    <definedName name="_xlnm._FilterDatabase" localSheetId="0" hidden="1">Raw!$A$3:$A$2278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4" i="5" l="1"/>
  <c r="C1" i="5"/>
  <c r="C1948" i="5"/>
  <c r="C1915" i="5"/>
  <c r="C1882" i="5"/>
  <c r="C1849" i="5"/>
  <c r="C1816" i="5"/>
  <c r="C1783" i="5"/>
  <c r="C1750" i="5"/>
  <c r="C1717" i="5"/>
  <c r="C1684" i="5"/>
  <c r="C1651" i="5"/>
  <c r="C1618" i="5"/>
  <c r="C1585" i="5"/>
  <c r="C1552" i="5"/>
  <c r="C1519" i="5"/>
  <c r="C1486" i="5"/>
  <c r="C1453" i="5"/>
  <c r="C1420" i="5"/>
  <c r="C1387" i="5"/>
  <c r="C1354" i="5"/>
  <c r="C1321" i="5"/>
  <c r="C1288" i="5"/>
  <c r="C1255" i="5"/>
  <c r="C1222" i="5"/>
  <c r="C1189" i="5"/>
  <c r="C1156" i="5"/>
  <c r="C1123" i="5"/>
  <c r="C1090" i="5"/>
  <c r="C1057" i="5"/>
  <c r="C1024" i="5"/>
  <c r="C991" i="5"/>
  <c r="C958" i="5"/>
  <c r="C925" i="5"/>
  <c r="C892" i="5"/>
  <c r="C859" i="5"/>
  <c r="C826" i="5"/>
  <c r="C793" i="5"/>
  <c r="C760" i="5"/>
  <c r="C727" i="5"/>
  <c r="C694" i="5"/>
  <c r="C661" i="5"/>
  <c r="C628" i="5"/>
  <c r="C595" i="5"/>
  <c r="C562" i="5"/>
  <c r="C529" i="5"/>
  <c r="C496" i="5"/>
  <c r="C463" i="5"/>
  <c r="C430" i="5"/>
  <c r="C397" i="5"/>
  <c r="C364" i="5"/>
  <c r="C331" i="5"/>
  <c r="C298" i="5"/>
  <c r="C265" i="5"/>
  <c r="C232" i="5"/>
  <c r="C199" i="5"/>
  <c r="C166" i="5"/>
  <c r="C133" i="5"/>
  <c r="C100" i="5"/>
  <c r="C67" i="5"/>
  <c r="C4" i="5"/>
  <c r="L7" i="5"/>
  <c r="U5" i="2"/>
  <c r="U6" i="2"/>
  <c r="U7" i="2"/>
  <c r="U8" i="2"/>
  <c r="U9" i="2"/>
  <c r="G9" i="2"/>
  <c r="H9" i="2"/>
  <c r="I9" i="2"/>
  <c r="J9" i="2"/>
  <c r="K9" i="2"/>
  <c r="L9" i="2"/>
  <c r="M9" i="2"/>
  <c r="N9" i="2"/>
  <c r="O9" i="2"/>
  <c r="P9" i="2"/>
  <c r="Q9" i="2"/>
  <c r="R9" i="2"/>
  <c r="S9" i="2"/>
  <c r="T9" i="2"/>
  <c r="F9" i="2"/>
  <c r="U4" i="2"/>
  <c r="T8" i="2"/>
  <c r="T7" i="2"/>
  <c r="T6" i="2"/>
  <c r="T5" i="2"/>
  <c r="T4" i="2"/>
  <c r="S8" i="2"/>
  <c r="S7" i="2"/>
  <c r="S6" i="2"/>
  <c r="S5" i="2"/>
  <c r="S4" i="2"/>
  <c r="R8" i="2"/>
  <c r="R7" i="2"/>
  <c r="R6" i="2"/>
  <c r="R5" i="2"/>
  <c r="R4" i="2"/>
  <c r="Q8" i="2"/>
  <c r="Q7" i="2"/>
  <c r="Q6" i="2"/>
  <c r="Q5" i="2"/>
  <c r="Q4" i="2"/>
  <c r="P8" i="2"/>
  <c r="P7" i="2"/>
  <c r="P6" i="2"/>
  <c r="P5" i="2"/>
  <c r="O4" i="2"/>
  <c r="P4" i="2"/>
  <c r="O8" i="2"/>
  <c r="O6" i="2"/>
  <c r="O5" i="2"/>
  <c r="N8" i="2"/>
  <c r="N7" i="2"/>
  <c r="N6" i="2"/>
  <c r="N4" i="2"/>
  <c r="M8" i="2"/>
  <c r="M7" i="2"/>
  <c r="M6" i="2"/>
  <c r="M5" i="2"/>
  <c r="M4" i="2"/>
  <c r="L8" i="2"/>
  <c r="L6" i="2"/>
  <c r="N5" i="2"/>
  <c r="L7" i="2"/>
  <c r="O7" i="2"/>
  <c r="L4" i="2"/>
  <c r="L5" i="2"/>
  <c r="K8" i="2"/>
  <c r="K7" i="2"/>
  <c r="K6" i="2"/>
  <c r="K5" i="2"/>
  <c r="K4" i="2"/>
  <c r="J8" i="2"/>
  <c r="J7" i="2"/>
  <c r="J6" i="2"/>
  <c r="J5" i="2"/>
  <c r="J4" i="2"/>
  <c r="I8" i="2"/>
  <c r="I7" i="2"/>
  <c r="I6" i="2"/>
  <c r="I5" i="2"/>
  <c r="I4" i="2"/>
  <c r="H8" i="2"/>
  <c r="H7" i="2"/>
  <c r="H6" i="2"/>
  <c r="H5" i="2"/>
  <c r="H4" i="2"/>
  <c r="E1" i="3"/>
  <c r="G8" i="2"/>
  <c r="G7" i="2"/>
  <c r="G6" i="2"/>
  <c r="G5" i="2"/>
  <c r="G4" i="2"/>
  <c r="F8" i="2"/>
  <c r="F7" i="2"/>
  <c r="F6" i="2"/>
  <c r="F5" i="2"/>
  <c r="F4" i="2"/>
  <c r="E2" i="3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D2" i="3"/>
  <c r="D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1" i="3"/>
  <c r="C1976" i="2"/>
  <c r="C1958" i="2"/>
  <c r="C1956" i="2"/>
  <c r="C1952" i="2"/>
  <c r="C1950" i="2"/>
  <c r="C1945" i="2"/>
  <c r="C1943" i="2"/>
  <c r="C1937" i="2"/>
  <c r="C1925" i="2"/>
  <c r="C1923" i="2"/>
  <c r="C1908" i="2"/>
  <c r="C1904" i="2"/>
  <c r="C1900" i="2"/>
  <c r="C1896" i="2"/>
  <c r="C1884" i="2"/>
  <c r="C1879" i="2"/>
  <c r="C1865" i="2"/>
  <c r="C1863" i="2"/>
  <c r="C1857" i="2"/>
  <c r="C1851" i="2"/>
  <c r="C1846" i="2"/>
  <c r="C1844" i="2"/>
  <c r="C1836" i="2"/>
  <c r="C1826" i="2"/>
  <c r="C1820" i="2"/>
  <c r="C1807" i="2"/>
  <c r="C1803" i="2"/>
  <c r="C1791" i="2"/>
  <c r="C1789" i="2"/>
  <c r="C1787" i="2"/>
  <c r="C1780" i="2"/>
  <c r="C1774" i="2"/>
  <c r="C1772" i="2"/>
  <c r="C1756" i="2"/>
  <c r="C1754" i="2"/>
  <c r="C1747" i="2"/>
  <c r="C1737" i="2"/>
  <c r="C1735" i="2"/>
  <c r="C1731" i="2"/>
  <c r="C1725" i="2"/>
  <c r="C1710" i="2"/>
  <c r="C1706" i="2"/>
  <c r="C1698" i="2"/>
  <c r="C1692" i="2"/>
  <c r="C1690" i="2"/>
  <c r="C1679" i="2"/>
  <c r="C1669" i="2"/>
  <c r="C1667" i="2"/>
  <c r="C1665" i="2"/>
  <c r="C1657" i="2"/>
  <c r="C1648" i="2"/>
  <c r="C1632" i="2"/>
  <c r="C1626" i="2"/>
  <c r="C1624" i="2"/>
  <c r="C1620" i="2"/>
  <c r="C1611" i="2"/>
  <c r="C1609" i="2"/>
  <c r="C1599" i="2"/>
  <c r="C1595" i="2"/>
  <c r="C1591" i="2"/>
  <c r="C1572" i="2"/>
  <c r="C1566" i="2"/>
  <c r="C1562" i="2"/>
  <c r="C1558" i="2"/>
  <c r="C1556" i="2"/>
  <c r="C1549" i="2"/>
  <c r="C1543" i="2"/>
  <c r="C1537" i="2"/>
  <c r="C1533" i="2"/>
  <c r="C1529" i="2"/>
  <c r="C1516" i="2"/>
  <c r="C1514" i="2"/>
  <c r="C1506" i="2"/>
  <c r="C1496" i="2"/>
  <c r="C1492" i="2"/>
  <c r="C1471" i="2"/>
  <c r="C1467" i="2"/>
  <c r="C1463" i="2"/>
  <c r="C1457" i="2"/>
  <c r="C1455" i="2"/>
  <c r="C1450" i="2"/>
  <c r="C1436" i="2"/>
  <c r="C1432" i="2"/>
  <c r="C1428" i="2"/>
  <c r="C1422" i="2"/>
  <c r="C1409" i="2"/>
  <c r="C1405" i="2"/>
  <c r="C1395" i="2"/>
  <c r="C1393" i="2"/>
  <c r="C1389" i="2"/>
  <c r="C1380" i="2"/>
  <c r="C1378" i="2"/>
  <c r="C1376" i="2"/>
  <c r="C1362" i="2"/>
  <c r="C1360" i="2"/>
  <c r="C1349" i="2"/>
  <c r="C1347" i="2"/>
  <c r="C1343" i="2"/>
  <c r="C1341" i="2"/>
  <c r="C1325" i="2"/>
  <c r="C1312" i="2"/>
  <c r="C1308" i="2"/>
  <c r="C1306" i="2"/>
  <c r="C1300" i="2"/>
  <c r="C1290" i="2"/>
  <c r="C1279" i="2"/>
  <c r="C1273" i="2"/>
  <c r="C1269" i="2"/>
  <c r="C1259" i="2"/>
  <c r="C1257" i="2"/>
  <c r="C1246" i="2"/>
  <c r="C1242" i="2"/>
  <c r="C1240" i="2"/>
  <c r="C1238" i="2"/>
  <c r="C1226" i="2"/>
  <c r="C1213" i="2"/>
  <c r="C1205" i="2"/>
  <c r="C1199" i="2"/>
  <c r="C1197" i="2"/>
  <c r="C1191" i="2"/>
  <c r="C1186" i="2"/>
  <c r="C1178" i="2"/>
  <c r="C1174" i="2"/>
  <c r="C1172" i="2"/>
  <c r="C1166" i="2"/>
  <c r="C1151" i="2"/>
  <c r="C1149" i="2"/>
  <c r="C1143" i="2"/>
  <c r="C1135" i="2"/>
  <c r="C1125" i="2"/>
  <c r="C1118" i="2"/>
  <c r="C1114" i="2"/>
  <c r="C1110" i="2"/>
  <c r="C1108" i="2"/>
  <c r="C1098" i="2"/>
  <c r="C1077" i="2"/>
  <c r="C1071" i="2"/>
  <c r="C1065" i="2"/>
  <c r="C1061" i="2"/>
  <c r="C1059" i="2"/>
  <c r="C1048" i="2"/>
  <c r="C1044" i="2"/>
  <c r="C1034" i="2"/>
  <c r="C1030" i="2"/>
  <c r="C1026" i="2"/>
  <c r="C1011" i="2"/>
  <c r="C1009" i="2"/>
  <c r="C1007" i="2"/>
  <c r="C999" i="2"/>
  <c r="C995" i="2"/>
  <c r="C984" i="2"/>
  <c r="C982" i="2"/>
  <c r="C978" i="2"/>
  <c r="C968" i="2"/>
  <c r="C962" i="2"/>
  <c r="C953" i="2"/>
  <c r="C949" i="2"/>
  <c r="C939" i="2"/>
  <c r="C937" i="2"/>
  <c r="C929" i="2"/>
  <c r="C918" i="2"/>
  <c r="C916" i="2"/>
  <c r="C912" i="2"/>
  <c r="C910" i="2"/>
  <c r="C904" i="2"/>
  <c r="C887" i="2"/>
  <c r="C881" i="2"/>
  <c r="C873" i="2"/>
  <c r="C871" i="2"/>
  <c r="C867" i="2"/>
  <c r="C856" i="2"/>
  <c r="C852" i="2"/>
  <c r="C846" i="2"/>
  <c r="C844" i="2"/>
  <c r="C836" i="2"/>
  <c r="C817" i="2"/>
  <c r="C815" i="2"/>
  <c r="C811" i="2"/>
  <c r="C803" i="2"/>
  <c r="C797" i="2"/>
  <c r="C790" i="2"/>
  <c r="C788" i="2"/>
  <c r="C784" i="2"/>
  <c r="C774" i="2"/>
  <c r="C772" i="2"/>
  <c r="C755" i="2"/>
  <c r="C745" i="2"/>
  <c r="C741" i="2"/>
  <c r="C739" i="2"/>
  <c r="C735" i="2"/>
  <c r="C724" i="2"/>
  <c r="C718" i="2"/>
  <c r="C716" i="2"/>
  <c r="C714" i="2"/>
  <c r="C702" i="2"/>
  <c r="C691" i="2"/>
  <c r="C681" i="2"/>
  <c r="C671" i="2"/>
  <c r="C665" i="2"/>
  <c r="C663" i="2"/>
  <c r="C656" i="2"/>
  <c r="C652" i="2"/>
  <c r="C646" i="2"/>
  <c r="C640" i="2"/>
  <c r="C630" i="2"/>
  <c r="C621" i="2"/>
  <c r="C611" i="2"/>
  <c r="C607" i="2"/>
  <c r="C603" i="2"/>
  <c r="C597" i="2"/>
  <c r="C592" i="2"/>
  <c r="C586" i="2"/>
  <c r="C574" i="2"/>
  <c r="C570" i="2"/>
  <c r="C568" i="2"/>
  <c r="C559" i="2"/>
  <c r="C549" i="2"/>
  <c r="C545" i="2"/>
  <c r="C541" i="2"/>
  <c r="C535" i="2"/>
  <c r="C522" i="2"/>
  <c r="C514" i="2"/>
  <c r="C512" i="2"/>
  <c r="C504" i="2"/>
  <c r="C498" i="2"/>
  <c r="C493" i="2"/>
  <c r="C481" i="2"/>
  <c r="C475" i="2"/>
  <c r="C473" i="2"/>
  <c r="C465" i="2"/>
  <c r="C458" i="2"/>
  <c r="C450" i="2"/>
  <c r="C446" i="2"/>
  <c r="C444" i="2"/>
  <c r="C434" i="2"/>
  <c r="C425" i="2"/>
  <c r="C419" i="2"/>
  <c r="C413" i="2"/>
  <c r="C403" i="2"/>
  <c r="C401" i="2"/>
  <c r="C394" i="2"/>
  <c r="C390" i="2"/>
  <c r="C382" i="2"/>
  <c r="C368" i="2"/>
  <c r="C366" i="2"/>
  <c r="C359" i="2"/>
  <c r="C355" i="2"/>
  <c r="C353" i="2"/>
  <c r="C347" i="2"/>
  <c r="C333" i="2"/>
  <c r="C324" i="2"/>
  <c r="C318" i="2"/>
  <c r="C316" i="2"/>
  <c r="C314" i="2"/>
  <c r="C304" i="2"/>
  <c r="C285" i="2"/>
  <c r="C283" i="2"/>
  <c r="C277" i="2"/>
  <c r="C271" i="2"/>
  <c r="C267" i="2"/>
  <c r="C262" i="2"/>
  <c r="C250" i="2"/>
  <c r="C244" i="2"/>
  <c r="C238" i="2"/>
  <c r="C236" i="2"/>
  <c r="C219" i="2"/>
  <c r="C215" i="2"/>
  <c r="C205" i="2"/>
  <c r="C203" i="2"/>
  <c r="C201" i="2"/>
  <c r="C190" i="2"/>
  <c r="C182" i="2"/>
  <c r="C176" i="2"/>
  <c r="C172" i="2"/>
  <c r="C168" i="2"/>
  <c r="C163" i="2"/>
  <c r="C159" i="2"/>
  <c r="C155" i="2"/>
  <c r="C153" i="2"/>
  <c r="C141" i="2"/>
  <c r="C118" i="2"/>
  <c r="C114" i="2"/>
  <c r="C106" i="2"/>
  <c r="C104" i="2"/>
  <c r="C102" i="2"/>
  <c r="C95" i="2"/>
  <c r="C91" i="2"/>
  <c r="C89" i="2"/>
  <c r="C81" i="2"/>
  <c r="C79" i="2"/>
  <c r="C56" i="2"/>
  <c r="C54" i="2"/>
  <c r="C52" i="2"/>
  <c r="C46" i="2"/>
  <c r="C42" i="2"/>
  <c r="C27" i="2"/>
  <c r="C23" i="2"/>
  <c r="C15" i="2"/>
  <c r="C13" i="2"/>
  <c r="C9" i="2"/>
</calcChain>
</file>

<file path=xl/sharedStrings.xml><?xml version="1.0" encoding="utf-8"?>
<sst xmlns="http://schemas.openxmlformats.org/spreadsheetml/2006/main" count="5974" uniqueCount="113">
  <si>
    <t>ATC2_Mike_Participant1.xml</t>
  </si>
  <si>
    <t>script9</t>
  </si>
  <si>
    <t>BLANK INTERRUPTION</t>
  </si>
  <si>
    <t>script7</t>
  </si>
  <si>
    <t>no interruption</t>
  </si>
  <si>
    <t>script13</t>
  </si>
  <si>
    <t>script8</t>
  </si>
  <si>
    <t>launch4.VBS</t>
  </si>
  <si>
    <t>script4</t>
  </si>
  <si>
    <t>script14</t>
  </si>
  <si>
    <t>launch5.VBS</t>
  </si>
  <si>
    <t>script11</t>
  </si>
  <si>
    <t>launch1.VBS</t>
  </si>
  <si>
    <t>script10</t>
  </si>
  <si>
    <t>script6</t>
  </si>
  <si>
    <t>script1</t>
  </si>
  <si>
    <t>script2</t>
  </si>
  <si>
    <t>launch2.VBS</t>
  </si>
  <si>
    <t>script15</t>
  </si>
  <si>
    <t>script5</t>
  </si>
  <si>
    <t>launch3.VBS</t>
  </si>
  <si>
    <t>script12</t>
  </si>
  <si>
    <t>script3</t>
  </si>
  <si>
    <t>ATC2_Mike_Participant10.xml</t>
  </si>
  <si>
    <t>ATC2_Mike_Participant11.xml</t>
  </si>
  <si>
    <t>ATC2_Mike_Participant12.xml</t>
  </si>
  <si>
    <t>ATC2_Mike_Participant13.xml</t>
  </si>
  <si>
    <t>ATC2_Mike_Participant14.xml</t>
  </si>
  <si>
    <t>ATC2_Mike_Participant15.xml</t>
  </si>
  <si>
    <t>ATC2_Mike_Participant16.xml</t>
  </si>
  <si>
    <t>ATC2_Mike_Participant17.xml</t>
  </si>
  <si>
    <t>ATC2_Mike_Participant18.xml</t>
  </si>
  <si>
    <t>ATC2_Mike_Participant19.xml</t>
  </si>
  <si>
    <t>ATC2_Mike_Participant2.xml</t>
  </si>
  <si>
    <t>ATC2_Mike_Participant20.xml</t>
  </si>
  <si>
    <t>ATC2_Mike_Participant21.xml</t>
  </si>
  <si>
    <t>ATC2_Mike_Participant22.xml</t>
  </si>
  <si>
    <t>ATC2_Mike_Participant23.xml</t>
  </si>
  <si>
    <t>ATC2_Mike_Participant24.xml</t>
  </si>
  <si>
    <t>ATC2_Mike_Participant25.xml</t>
  </si>
  <si>
    <t>ATC2_Mike_Participant26.xml</t>
  </si>
  <si>
    <t>ATC2_Mike_Participant27.xml</t>
  </si>
  <si>
    <t>ATC2_Mike_Participant28.xml</t>
  </si>
  <si>
    <t>ATC2_Mike_Participant29.xml</t>
  </si>
  <si>
    <t>ATC2_Mike_Participant3.xml</t>
  </si>
  <si>
    <t>ATC2_Mike_Participant30.xml</t>
  </si>
  <si>
    <t>ATC2_Mike_Participant31.xml</t>
  </si>
  <si>
    <t>ATC2_Mike_Participant32.xml</t>
  </si>
  <si>
    <t>ATC2_Mike_Participant33.xml</t>
  </si>
  <si>
    <t>ATC2_Mike_Participant34.xml</t>
  </si>
  <si>
    <t>ATC2_Mike_Participant35.xml</t>
  </si>
  <si>
    <t>ATC2_Mike_Participant36.xml</t>
  </si>
  <si>
    <t>ATC2_Mike_Participant37.xml</t>
  </si>
  <si>
    <t>ATC2_Mike_Participant38.xml</t>
  </si>
  <si>
    <t>ATC2_Mike_Participant39.xml</t>
  </si>
  <si>
    <t>ATC2_Mike_Participant4.xml</t>
  </si>
  <si>
    <t>ATC2_Mike_Participant40.xml</t>
  </si>
  <si>
    <t>ATC2_Mike_Participant41.xml</t>
  </si>
  <si>
    <t>ATC2_Mike_Participant42.xml</t>
  </si>
  <si>
    <t>ATC2_Mike_Participant43.xml</t>
  </si>
  <si>
    <t>ATC2_Mike_Participant44.xml</t>
  </si>
  <si>
    <t>ATC2_Mike_Participant45.xml</t>
  </si>
  <si>
    <t>ATC2_Mike_Participant46.xml</t>
  </si>
  <si>
    <t>ATC2_Mike_Participant47.xml</t>
  </si>
  <si>
    <t>ATC2_Mike_Participant48.xml</t>
  </si>
  <si>
    <t>ATC2_Mike_Participant49.xml</t>
  </si>
  <si>
    <t>ATC2_Mike_Participant5.xml</t>
  </si>
  <si>
    <t>ATC2_Mike_Participant50.xml</t>
  </si>
  <si>
    <t>ATC2_Mike_Participant51.xml</t>
  </si>
  <si>
    <t>ATC2_Mike_Participant52.xml</t>
  </si>
  <si>
    <t>ATC2_Mike_Participant53.xml</t>
  </si>
  <si>
    <t>ATC2_Mike_Participant54.xml</t>
  </si>
  <si>
    <t>ATC2_Mike_Participant55.xml</t>
  </si>
  <si>
    <t>ATC2_Mike_Participant56.xml</t>
  </si>
  <si>
    <t>ATC2_Mike_Participant57.xml</t>
  </si>
  <si>
    <t>ATC2_Mike_Participant58.xml</t>
  </si>
  <si>
    <t>ATC2_Mike_Participant59.xml</t>
  </si>
  <si>
    <t>ATC2_Mike_Participant6.xml</t>
  </si>
  <si>
    <t>ATC2_Mike_Participant60.xml</t>
  </si>
  <si>
    <t>ATC2_Mike_Participant7.xml</t>
  </si>
  <si>
    <t>ATC2_Mike_Participant8.xml</t>
  </si>
  <si>
    <t>ATC2_Mike_Participant9.xml</t>
  </si>
  <si>
    <t>Script1</t>
  </si>
  <si>
    <t>Script2</t>
  </si>
  <si>
    <t>Script3</t>
  </si>
  <si>
    <t>Script4</t>
  </si>
  <si>
    <t>Script5</t>
  </si>
  <si>
    <t>Script6</t>
  </si>
  <si>
    <t>Script7</t>
  </si>
  <si>
    <t>Script8</t>
  </si>
  <si>
    <t>Script9</t>
  </si>
  <si>
    <t>Script10</t>
  </si>
  <si>
    <t>Script11</t>
  </si>
  <si>
    <t>Script12</t>
  </si>
  <si>
    <t>Script13</t>
  </si>
  <si>
    <t>Script14</t>
  </si>
  <si>
    <t>Script15</t>
  </si>
  <si>
    <t>Counts of number of scripts</t>
  </si>
  <si>
    <t>Launch1</t>
  </si>
  <si>
    <t>Launch2</t>
  </si>
  <si>
    <t>Launch3</t>
  </si>
  <si>
    <t>Launch4</t>
  </si>
  <si>
    <t>Launch5</t>
  </si>
  <si>
    <t>launch1</t>
  </si>
  <si>
    <t>.VBS</t>
  </si>
  <si>
    <t>launch2</t>
  </si>
  <si>
    <t>launch3</t>
  </si>
  <si>
    <t>launch4</t>
  </si>
  <si>
    <t>launch5</t>
  </si>
  <si>
    <t>Total</t>
  </si>
  <si>
    <t>Table 1. Counts of the number of times an ATC interruption (launch 1-5) is assigned to a Script number. Due to random sampling, it is possible that any given scenario may never</t>
  </si>
  <si>
    <t>receive a particular ATC-interruption trial. However, within a participant, (see table 2) they will receive all forms of interruption condition.</t>
  </si>
  <si>
    <t>launch1launch2launch3launch4launch5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</si>
</sst>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0"/>
      <color rgb="FF000000"/>
      <name val="Verdana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1" xfId="0" applyBorder="1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978"/>
  <sheetViews>
    <sheetView workbookViewId="0">
      <selection sqref="A1:B1048576"/>
    </sheetView>
  </sheetViews>
  <sheetFormatPr defaultRowHeight="15" x14ac:dyDescent="0.25"/>
  <cols>
    <col min="1" max="1" width="20.28515625" customWidth="1"/>
    <col min="5" max="5" width="13.85546875" customWidth="1"/>
  </cols>
  <sheetData>
    <row r="1" spans="1:2" x14ac:dyDescent="0.25">
      <c r="A1" t="s">
        <v>0</v>
      </c>
    </row>
    <row r="3" spans="1:2" x14ac:dyDescent="0.25">
      <c r="A3" t="s">
        <v>2</v>
      </c>
      <c r="B3" t="s">
        <v>1</v>
      </c>
    </row>
    <row r="5" spans="1:2" x14ac:dyDescent="0.25">
      <c r="A5" t="s">
        <v>4</v>
      </c>
      <c r="B5" t="s">
        <v>3</v>
      </c>
    </row>
    <row r="7" spans="1:2" x14ac:dyDescent="0.25">
      <c r="A7" t="s">
        <v>4</v>
      </c>
      <c r="B7" t="s">
        <v>5</v>
      </c>
    </row>
    <row r="9" spans="1:2" x14ac:dyDescent="0.25">
      <c r="A9" t="s">
        <v>7</v>
      </c>
      <c r="B9" t="s">
        <v>6</v>
      </c>
    </row>
    <row r="11" spans="1:2" x14ac:dyDescent="0.25">
      <c r="A11" t="s">
        <v>4</v>
      </c>
      <c r="B11" t="s">
        <v>8</v>
      </c>
    </row>
    <row r="13" spans="1:2" x14ac:dyDescent="0.25">
      <c r="A13" t="s">
        <v>10</v>
      </c>
      <c r="B13" t="s">
        <v>9</v>
      </c>
    </row>
    <row r="15" spans="1:2" x14ac:dyDescent="0.25">
      <c r="A15" t="s">
        <v>12</v>
      </c>
      <c r="B15" t="s">
        <v>11</v>
      </c>
    </row>
    <row r="17" spans="1:2" x14ac:dyDescent="0.25">
      <c r="A17" t="s">
        <v>4</v>
      </c>
      <c r="B17" t="s">
        <v>13</v>
      </c>
    </row>
    <row r="19" spans="1:2" x14ac:dyDescent="0.25">
      <c r="A19" t="s">
        <v>2</v>
      </c>
      <c r="B19" t="s">
        <v>14</v>
      </c>
    </row>
    <row r="21" spans="1:2" x14ac:dyDescent="0.25">
      <c r="A21" t="s">
        <v>4</v>
      </c>
      <c r="B21" t="s">
        <v>15</v>
      </c>
    </row>
    <row r="23" spans="1:2" x14ac:dyDescent="0.25">
      <c r="A23" t="s">
        <v>17</v>
      </c>
      <c r="B23" t="s">
        <v>16</v>
      </c>
    </row>
    <row r="25" spans="1:2" x14ac:dyDescent="0.25">
      <c r="A25" t="s">
        <v>2</v>
      </c>
      <c r="B25" t="s">
        <v>18</v>
      </c>
    </row>
    <row r="27" spans="1:2" x14ac:dyDescent="0.25">
      <c r="A27" t="s">
        <v>20</v>
      </c>
      <c r="B27" t="s">
        <v>19</v>
      </c>
    </row>
    <row r="29" spans="1:2" x14ac:dyDescent="0.25">
      <c r="A29" t="s">
        <v>2</v>
      </c>
      <c r="B29" t="s">
        <v>21</v>
      </c>
    </row>
    <row r="31" spans="1:2" x14ac:dyDescent="0.25">
      <c r="A31" t="s">
        <v>2</v>
      </c>
      <c r="B31" t="s">
        <v>22</v>
      </c>
    </row>
    <row r="34" spans="1:2" x14ac:dyDescent="0.25">
      <c r="A34" t="s">
        <v>23</v>
      </c>
    </row>
    <row r="36" spans="1:2" x14ac:dyDescent="0.25">
      <c r="A36" t="s">
        <v>2</v>
      </c>
      <c r="B36" t="s">
        <v>9</v>
      </c>
    </row>
    <row r="38" spans="1:2" x14ac:dyDescent="0.25">
      <c r="A38" t="s">
        <v>4</v>
      </c>
      <c r="B38" t="s">
        <v>14</v>
      </c>
    </row>
    <row r="40" spans="1:2" x14ac:dyDescent="0.25">
      <c r="A40" t="s">
        <v>4</v>
      </c>
      <c r="B40" t="s">
        <v>21</v>
      </c>
    </row>
    <row r="42" spans="1:2" x14ac:dyDescent="0.25">
      <c r="A42" t="s">
        <v>7</v>
      </c>
      <c r="B42" t="s">
        <v>13</v>
      </c>
    </row>
    <row r="44" spans="1:2" x14ac:dyDescent="0.25">
      <c r="A44" t="s">
        <v>2</v>
      </c>
      <c r="B44" t="s">
        <v>19</v>
      </c>
    </row>
    <row r="46" spans="1:2" x14ac:dyDescent="0.25">
      <c r="A46" t="s">
        <v>20</v>
      </c>
      <c r="B46" t="s">
        <v>3</v>
      </c>
    </row>
    <row r="48" spans="1:2" x14ac:dyDescent="0.25">
      <c r="A48" t="s">
        <v>2</v>
      </c>
      <c r="B48" t="s">
        <v>6</v>
      </c>
    </row>
    <row r="50" spans="1:2" x14ac:dyDescent="0.25">
      <c r="A50" t="s">
        <v>4</v>
      </c>
      <c r="B50" t="s">
        <v>1</v>
      </c>
    </row>
    <row r="52" spans="1:2" x14ac:dyDescent="0.25">
      <c r="A52" t="s">
        <v>17</v>
      </c>
      <c r="B52" t="s">
        <v>5</v>
      </c>
    </row>
    <row r="54" spans="1:2" x14ac:dyDescent="0.25">
      <c r="A54" t="s">
        <v>12</v>
      </c>
      <c r="B54" t="s">
        <v>8</v>
      </c>
    </row>
    <row r="56" spans="1:2" x14ac:dyDescent="0.25">
      <c r="A56" t="s">
        <v>10</v>
      </c>
      <c r="B56" t="s">
        <v>15</v>
      </c>
    </row>
    <row r="58" spans="1:2" x14ac:dyDescent="0.25">
      <c r="A58" t="s">
        <v>2</v>
      </c>
      <c r="B58" t="s">
        <v>16</v>
      </c>
    </row>
    <row r="60" spans="1:2" x14ac:dyDescent="0.25">
      <c r="A60" t="s">
        <v>4</v>
      </c>
      <c r="B60" t="s">
        <v>22</v>
      </c>
    </row>
    <row r="62" spans="1:2" x14ac:dyDescent="0.25">
      <c r="A62" t="s">
        <v>2</v>
      </c>
      <c r="B62" t="s">
        <v>11</v>
      </c>
    </row>
    <row r="64" spans="1:2" x14ac:dyDescent="0.25">
      <c r="A64" t="s">
        <v>4</v>
      </c>
      <c r="B64" t="s">
        <v>18</v>
      </c>
    </row>
    <row r="67" spans="1:2" x14ac:dyDescent="0.25">
      <c r="A67" t="s">
        <v>24</v>
      </c>
    </row>
    <row r="69" spans="1:2" x14ac:dyDescent="0.25">
      <c r="A69" t="s">
        <v>2</v>
      </c>
      <c r="B69" t="s">
        <v>8</v>
      </c>
    </row>
    <row r="71" spans="1:2" x14ac:dyDescent="0.25">
      <c r="A71" t="s">
        <v>2</v>
      </c>
      <c r="B71" t="s">
        <v>15</v>
      </c>
    </row>
    <row r="73" spans="1:2" x14ac:dyDescent="0.25">
      <c r="A73" t="s">
        <v>4</v>
      </c>
      <c r="B73" t="s">
        <v>6</v>
      </c>
    </row>
    <row r="75" spans="1:2" x14ac:dyDescent="0.25">
      <c r="A75" t="s">
        <v>4</v>
      </c>
      <c r="B75" t="s">
        <v>19</v>
      </c>
    </row>
    <row r="77" spans="1:2" x14ac:dyDescent="0.25">
      <c r="A77" t="s">
        <v>4</v>
      </c>
      <c r="B77" t="s">
        <v>11</v>
      </c>
    </row>
    <row r="79" spans="1:2" x14ac:dyDescent="0.25">
      <c r="A79" t="s">
        <v>12</v>
      </c>
      <c r="B79" t="s">
        <v>22</v>
      </c>
    </row>
    <row r="81" spans="1:2" x14ac:dyDescent="0.25">
      <c r="A81" t="s">
        <v>7</v>
      </c>
      <c r="B81" t="s">
        <v>21</v>
      </c>
    </row>
    <row r="83" spans="1:2" x14ac:dyDescent="0.25">
      <c r="A83" t="s">
        <v>2</v>
      </c>
      <c r="B83" t="s">
        <v>3</v>
      </c>
    </row>
    <row r="85" spans="1:2" x14ac:dyDescent="0.25">
      <c r="A85" t="s">
        <v>4</v>
      </c>
      <c r="B85" t="s">
        <v>16</v>
      </c>
    </row>
    <row r="87" spans="1:2" x14ac:dyDescent="0.25">
      <c r="A87" t="s">
        <v>2</v>
      </c>
      <c r="B87" t="s">
        <v>13</v>
      </c>
    </row>
    <row r="89" spans="1:2" x14ac:dyDescent="0.25">
      <c r="A89" t="s">
        <v>20</v>
      </c>
      <c r="B89" t="s">
        <v>1</v>
      </c>
    </row>
    <row r="91" spans="1:2" x14ac:dyDescent="0.25">
      <c r="A91" t="s">
        <v>10</v>
      </c>
      <c r="B91" t="s">
        <v>14</v>
      </c>
    </row>
    <row r="93" spans="1:2" x14ac:dyDescent="0.25">
      <c r="A93" t="s">
        <v>4</v>
      </c>
      <c r="B93" t="s">
        <v>9</v>
      </c>
    </row>
    <row r="95" spans="1:2" x14ac:dyDescent="0.25">
      <c r="A95" t="s">
        <v>17</v>
      </c>
      <c r="B95" t="s">
        <v>18</v>
      </c>
    </row>
    <row r="97" spans="1:2" x14ac:dyDescent="0.25">
      <c r="A97" t="s">
        <v>2</v>
      </c>
      <c r="B97" t="s">
        <v>5</v>
      </c>
    </row>
    <row r="100" spans="1:2" x14ac:dyDescent="0.25">
      <c r="A100" t="s">
        <v>25</v>
      </c>
    </row>
    <row r="102" spans="1:2" x14ac:dyDescent="0.25">
      <c r="A102" t="s">
        <v>10</v>
      </c>
      <c r="B102" t="s">
        <v>19</v>
      </c>
    </row>
    <row r="104" spans="1:2" x14ac:dyDescent="0.25">
      <c r="A104" t="s">
        <v>20</v>
      </c>
      <c r="B104" t="s">
        <v>6</v>
      </c>
    </row>
    <row r="106" spans="1:2" x14ac:dyDescent="0.25">
      <c r="A106" t="s">
        <v>17</v>
      </c>
      <c r="B106" t="s">
        <v>11</v>
      </c>
    </row>
    <row r="108" spans="1:2" x14ac:dyDescent="0.25">
      <c r="A108" t="s">
        <v>4</v>
      </c>
      <c r="B108" t="s">
        <v>14</v>
      </c>
    </row>
    <row r="110" spans="1:2" x14ac:dyDescent="0.25">
      <c r="A110" t="s">
        <v>2</v>
      </c>
      <c r="B110" t="s">
        <v>5</v>
      </c>
    </row>
    <row r="112" spans="1:2" x14ac:dyDescent="0.25">
      <c r="A112" t="s">
        <v>4</v>
      </c>
      <c r="B112" t="s">
        <v>21</v>
      </c>
    </row>
    <row r="114" spans="1:2" x14ac:dyDescent="0.25">
      <c r="A114" t="s">
        <v>12</v>
      </c>
      <c r="B114" t="s">
        <v>16</v>
      </c>
    </row>
    <row r="116" spans="1:2" x14ac:dyDescent="0.25">
      <c r="A116" t="s">
        <v>4</v>
      </c>
      <c r="B116" t="s">
        <v>22</v>
      </c>
    </row>
    <row r="118" spans="1:2" x14ac:dyDescent="0.25">
      <c r="A118" t="s">
        <v>7</v>
      </c>
      <c r="B118" t="s">
        <v>9</v>
      </c>
    </row>
    <row r="120" spans="1:2" x14ac:dyDescent="0.25">
      <c r="A120" t="s">
        <v>2</v>
      </c>
      <c r="B120" t="s">
        <v>15</v>
      </c>
    </row>
    <row r="122" spans="1:2" x14ac:dyDescent="0.25">
      <c r="A122" t="s">
        <v>2</v>
      </c>
      <c r="B122" t="s">
        <v>8</v>
      </c>
    </row>
    <row r="124" spans="1:2" x14ac:dyDescent="0.25">
      <c r="A124" t="s">
        <v>2</v>
      </c>
      <c r="B124" t="s">
        <v>3</v>
      </c>
    </row>
    <row r="126" spans="1:2" x14ac:dyDescent="0.25">
      <c r="A126" t="s">
        <v>2</v>
      </c>
      <c r="B126" t="s">
        <v>13</v>
      </c>
    </row>
    <row r="128" spans="1:2" x14ac:dyDescent="0.25">
      <c r="A128" t="s">
        <v>4</v>
      </c>
      <c r="B128" t="s">
        <v>18</v>
      </c>
    </row>
    <row r="130" spans="1:2" x14ac:dyDescent="0.25">
      <c r="A130" t="s">
        <v>4</v>
      </c>
      <c r="B130" t="s">
        <v>1</v>
      </c>
    </row>
    <row r="133" spans="1:2" x14ac:dyDescent="0.25">
      <c r="A133" t="s">
        <v>26</v>
      </c>
    </row>
    <row r="135" spans="1:2" x14ac:dyDescent="0.25">
      <c r="A135" t="s">
        <v>4</v>
      </c>
      <c r="B135" t="s">
        <v>15</v>
      </c>
    </row>
    <row r="137" spans="1:2" x14ac:dyDescent="0.25">
      <c r="A137" t="s">
        <v>2</v>
      </c>
      <c r="B137" t="s">
        <v>18</v>
      </c>
    </row>
    <row r="139" spans="1:2" x14ac:dyDescent="0.25">
      <c r="A139" t="s">
        <v>2</v>
      </c>
      <c r="B139" t="s">
        <v>14</v>
      </c>
    </row>
    <row r="141" spans="1:2" x14ac:dyDescent="0.25">
      <c r="A141" t="s">
        <v>17</v>
      </c>
      <c r="B141" t="s">
        <v>11</v>
      </c>
    </row>
    <row r="143" spans="1:2" x14ac:dyDescent="0.25">
      <c r="A143" t="s">
        <v>4</v>
      </c>
      <c r="B143" t="s">
        <v>5</v>
      </c>
    </row>
    <row r="145" spans="1:2" x14ac:dyDescent="0.25">
      <c r="A145" t="s">
        <v>2</v>
      </c>
      <c r="B145" t="s">
        <v>1</v>
      </c>
    </row>
    <row r="147" spans="1:2" x14ac:dyDescent="0.25">
      <c r="A147" t="s">
        <v>4</v>
      </c>
      <c r="B147" t="s">
        <v>13</v>
      </c>
    </row>
    <row r="149" spans="1:2" x14ac:dyDescent="0.25">
      <c r="A149" t="s">
        <v>2</v>
      </c>
      <c r="B149" t="s">
        <v>21</v>
      </c>
    </row>
    <row r="151" spans="1:2" x14ac:dyDescent="0.25">
      <c r="A151" t="s">
        <v>2</v>
      </c>
      <c r="B151" t="s">
        <v>22</v>
      </c>
    </row>
    <row r="153" spans="1:2" x14ac:dyDescent="0.25">
      <c r="A153" t="s">
        <v>20</v>
      </c>
      <c r="B153" t="s">
        <v>16</v>
      </c>
    </row>
    <row r="155" spans="1:2" x14ac:dyDescent="0.25">
      <c r="A155" t="s">
        <v>7</v>
      </c>
      <c r="B155" t="s">
        <v>9</v>
      </c>
    </row>
    <row r="157" spans="1:2" x14ac:dyDescent="0.25">
      <c r="A157" t="s">
        <v>4</v>
      </c>
      <c r="B157" t="s">
        <v>3</v>
      </c>
    </row>
    <row r="159" spans="1:2" x14ac:dyDescent="0.25">
      <c r="A159" t="s">
        <v>10</v>
      </c>
      <c r="B159" t="s">
        <v>19</v>
      </c>
    </row>
    <row r="161" spans="1:2" x14ac:dyDescent="0.25">
      <c r="A161" t="s">
        <v>4</v>
      </c>
      <c r="B161" t="s">
        <v>8</v>
      </c>
    </row>
    <row r="163" spans="1:2" x14ac:dyDescent="0.25">
      <c r="A163" t="s">
        <v>12</v>
      </c>
      <c r="B163" t="s">
        <v>6</v>
      </c>
    </row>
    <row r="166" spans="1:2" x14ac:dyDescent="0.25">
      <c r="A166" t="s">
        <v>27</v>
      </c>
    </row>
    <row r="168" spans="1:2" x14ac:dyDescent="0.25">
      <c r="A168" t="s">
        <v>17</v>
      </c>
      <c r="B168" t="s">
        <v>22</v>
      </c>
    </row>
    <row r="170" spans="1:2" x14ac:dyDescent="0.25">
      <c r="A170" t="s">
        <v>4</v>
      </c>
      <c r="B170" t="s">
        <v>13</v>
      </c>
    </row>
    <row r="172" spans="1:2" x14ac:dyDescent="0.25">
      <c r="A172" t="s">
        <v>12</v>
      </c>
      <c r="B172" t="s">
        <v>14</v>
      </c>
    </row>
    <row r="174" spans="1:2" x14ac:dyDescent="0.25">
      <c r="A174" t="s">
        <v>4</v>
      </c>
      <c r="B174" t="s">
        <v>8</v>
      </c>
    </row>
    <row r="176" spans="1:2" x14ac:dyDescent="0.25">
      <c r="A176" t="s">
        <v>7</v>
      </c>
      <c r="B176" t="s">
        <v>1</v>
      </c>
    </row>
    <row r="178" spans="1:2" x14ac:dyDescent="0.25">
      <c r="A178" t="s">
        <v>4</v>
      </c>
      <c r="B178" t="s">
        <v>15</v>
      </c>
    </row>
    <row r="180" spans="1:2" x14ac:dyDescent="0.25">
      <c r="A180" t="s">
        <v>4</v>
      </c>
      <c r="B180" t="s">
        <v>5</v>
      </c>
    </row>
    <row r="182" spans="1:2" x14ac:dyDescent="0.25">
      <c r="A182" t="s">
        <v>10</v>
      </c>
      <c r="B182" t="s">
        <v>21</v>
      </c>
    </row>
    <row r="184" spans="1:2" x14ac:dyDescent="0.25">
      <c r="A184" t="s">
        <v>2</v>
      </c>
      <c r="B184" t="s">
        <v>19</v>
      </c>
    </row>
    <row r="186" spans="1:2" x14ac:dyDescent="0.25">
      <c r="A186" t="s">
        <v>2</v>
      </c>
      <c r="B186" t="s">
        <v>16</v>
      </c>
    </row>
    <row r="188" spans="1:2" x14ac:dyDescent="0.25">
      <c r="A188" t="s">
        <v>4</v>
      </c>
      <c r="B188" t="s">
        <v>3</v>
      </c>
    </row>
    <row r="190" spans="1:2" x14ac:dyDescent="0.25">
      <c r="A190" t="s">
        <v>20</v>
      </c>
      <c r="B190" t="s">
        <v>18</v>
      </c>
    </row>
    <row r="192" spans="1:2" x14ac:dyDescent="0.25">
      <c r="A192" t="s">
        <v>2</v>
      </c>
      <c r="B192" t="s">
        <v>6</v>
      </c>
    </row>
    <row r="194" spans="1:2" x14ac:dyDescent="0.25">
      <c r="A194" t="s">
        <v>2</v>
      </c>
      <c r="B194" t="s">
        <v>11</v>
      </c>
    </row>
    <row r="196" spans="1:2" x14ac:dyDescent="0.25">
      <c r="A196" t="s">
        <v>2</v>
      </c>
      <c r="B196" t="s">
        <v>9</v>
      </c>
    </row>
    <row r="199" spans="1:2" x14ac:dyDescent="0.25">
      <c r="A199" t="s">
        <v>28</v>
      </c>
    </row>
    <row r="201" spans="1:2" x14ac:dyDescent="0.25">
      <c r="A201" t="s">
        <v>17</v>
      </c>
      <c r="B201" t="s">
        <v>8</v>
      </c>
    </row>
    <row r="203" spans="1:2" x14ac:dyDescent="0.25">
      <c r="A203" t="s">
        <v>7</v>
      </c>
      <c r="B203" t="s">
        <v>13</v>
      </c>
    </row>
    <row r="205" spans="1:2" x14ac:dyDescent="0.25">
      <c r="A205" t="s">
        <v>20</v>
      </c>
      <c r="B205" t="s">
        <v>3</v>
      </c>
    </row>
    <row r="207" spans="1:2" x14ac:dyDescent="0.25">
      <c r="A207" t="s">
        <v>4</v>
      </c>
      <c r="B207" t="s">
        <v>19</v>
      </c>
    </row>
    <row r="209" spans="1:2" x14ac:dyDescent="0.25">
      <c r="A209" t="s">
        <v>2</v>
      </c>
      <c r="B209" t="s">
        <v>21</v>
      </c>
    </row>
    <row r="211" spans="1:2" x14ac:dyDescent="0.25">
      <c r="A211" t="s">
        <v>2</v>
      </c>
      <c r="B211" t="s">
        <v>22</v>
      </c>
    </row>
    <row r="213" spans="1:2" x14ac:dyDescent="0.25">
      <c r="A213" t="s">
        <v>4</v>
      </c>
      <c r="B213" t="s">
        <v>16</v>
      </c>
    </row>
    <row r="215" spans="1:2" x14ac:dyDescent="0.25">
      <c r="A215" t="s">
        <v>10</v>
      </c>
      <c r="B215" t="s">
        <v>15</v>
      </c>
    </row>
    <row r="217" spans="1:2" x14ac:dyDescent="0.25">
      <c r="A217" t="s">
        <v>4</v>
      </c>
      <c r="B217" t="s">
        <v>6</v>
      </c>
    </row>
    <row r="219" spans="1:2" x14ac:dyDescent="0.25">
      <c r="A219" t="s">
        <v>12</v>
      </c>
      <c r="B219" t="s">
        <v>5</v>
      </c>
    </row>
    <row r="221" spans="1:2" x14ac:dyDescent="0.25">
      <c r="A221" t="s">
        <v>4</v>
      </c>
      <c r="B221" t="s">
        <v>9</v>
      </c>
    </row>
    <row r="223" spans="1:2" x14ac:dyDescent="0.25">
      <c r="A223" t="s">
        <v>2</v>
      </c>
      <c r="B223" t="s">
        <v>18</v>
      </c>
    </row>
    <row r="225" spans="1:2" x14ac:dyDescent="0.25">
      <c r="A225" t="s">
        <v>2</v>
      </c>
      <c r="B225" t="s">
        <v>14</v>
      </c>
    </row>
    <row r="227" spans="1:2" x14ac:dyDescent="0.25">
      <c r="A227" t="s">
        <v>2</v>
      </c>
      <c r="B227" t="s">
        <v>1</v>
      </c>
    </row>
    <row r="229" spans="1:2" x14ac:dyDescent="0.25">
      <c r="A229" t="s">
        <v>4</v>
      </c>
      <c r="B229" t="s">
        <v>11</v>
      </c>
    </row>
    <row r="232" spans="1:2" x14ac:dyDescent="0.25">
      <c r="A232" t="s">
        <v>29</v>
      </c>
    </row>
    <row r="234" spans="1:2" x14ac:dyDescent="0.25">
      <c r="A234" t="s">
        <v>2</v>
      </c>
      <c r="B234" t="s">
        <v>11</v>
      </c>
    </row>
    <row r="236" spans="1:2" x14ac:dyDescent="0.25">
      <c r="A236" t="s">
        <v>7</v>
      </c>
      <c r="B236" t="s">
        <v>15</v>
      </c>
    </row>
    <row r="238" spans="1:2" x14ac:dyDescent="0.25">
      <c r="A238" t="s">
        <v>17</v>
      </c>
      <c r="B238" t="s">
        <v>3</v>
      </c>
    </row>
    <row r="240" spans="1:2" x14ac:dyDescent="0.25">
      <c r="A240" t="s">
        <v>4</v>
      </c>
      <c r="B240" t="s">
        <v>14</v>
      </c>
    </row>
    <row r="242" spans="1:2" x14ac:dyDescent="0.25">
      <c r="A242" t="s">
        <v>2</v>
      </c>
      <c r="B242" t="s">
        <v>6</v>
      </c>
    </row>
    <row r="244" spans="1:2" x14ac:dyDescent="0.25">
      <c r="A244" t="s">
        <v>12</v>
      </c>
      <c r="B244" t="s">
        <v>8</v>
      </c>
    </row>
    <row r="246" spans="1:2" x14ac:dyDescent="0.25">
      <c r="A246" t="s">
        <v>4</v>
      </c>
      <c r="B246" t="s">
        <v>18</v>
      </c>
    </row>
    <row r="248" spans="1:2" x14ac:dyDescent="0.25">
      <c r="A248" t="s">
        <v>4</v>
      </c>
      <c r="B248" t="s">
        <v>22</v>
      </c>
    </row>
    <row r="250" spans="1:2" x14ac:dyDescent="0.25">
      <c r="A250" t="s">
        <v>20</v>
      </c>
      <c r="B250" t="s">
        <v>13</v>
      </c>
    </row>
    <row r="252" spans="1:2" x14ac:dyDescent="0.25">
      <c r="A252" t="s">
        <v>4</v>
      </c>
      <c r="B252" t="s">
        <v>21</v>
      </c>
    </row>
    <row r="254" spans="1:2" x14ac:dyDescent="0.25">
      <c r="A254" t="s">
        <v>2</v>
      </c>
      <c r="B254" t="s">
        <v>19</v>
      </c>
    </row>
    <row r="256" spans="1:2" x14ac:dyDescent="0.25">
      <c r="A256" t="s">
        <v>2</v>
      </c>
      <c r="B256" t="s">
        <v>16</v>
      </c>
    </row>
    <row r="258" spans="1:2" x14ac:dyDescent="0.25">
      <c r="A258" t="s">
        <v>2</v>
      </c>
      <c r="B258" t="s">
        <v>9</v>
      </c>
    </row>
    <row r="260" spans="1:2" x14ac:dyDescent="0.25">
      <c r="A260" t="s">
        <v>4</v>
      </c>
      <c r="B260" t="s">
        <v>1</v>
      </c>
    </row>
    <row r="262" spans="1:2" x14ac:dyDescent="0.25">
      <c r="A262" t="s">
        <v>10</v>
      </c>
      <c r="B262" t="s">
        <v>5</v>
      </c>
    </row>
    <row r="265" spans="1:2" x14ac:dyDescent="0.25">
      <c r="A265" t="s">
        <v>30</v>
      </c>
    </row>
    <row r="267" spans="1:2" x14ac:dyDescent="0.25">
      <c r="A267" t="s">
        <v>20</v>
      </c>
      <c r="B267" t="s">
        <v>18</v>
      </c>
    </row>
    <row r="269" spans="1:2" x14ac:dyDescent="0.25">
      <c r="A269" t="s">
        <v>2</v>
      </c>
      <c r="B269" t="s">
        <v>5</v>
      </c>
    </row>
    <row r="271" spans="1:2" x14ac:dyDescent="0.25">
      <c r="A271" t="s">
        <v>7</v>
      </c>
      <c r="B271" t="s">
        <v>22</v>
      </c>
    </row>
    <row r="273" spans="1:2" x14ac:dyDescent="0.25">
      <c r="A273" t="s">
        <v>2</v>
      </c>
      <c r="B273" t="s">
        <v>8</v>
      </c>
    </row>
    <row r="275" spans="1:2" x14ac:dyDescent="0.25">
      <c r="A275" t="s">
        <v>2</v>
      </c>
      <c r="B275" t="s">
        <v>15</v>
      </c>
    </row>
    <row r="277" spans="1:2" x14ac:dyDescent="0.25">
      <c r="A277" t="s">
        <v>12</v>
      </c>
      <c r="B277" t="s">
        <v>21</v>
      </c>
    </row>
    <row r="279" spans="1:2" x14ac:dyDescent="0.25">
      <c r="A279" t="s">
        <v>4</v>
      </c>
      <c r="B279" t="s">
        <v>16</v>
      </c>
    </row>
    <row r="281" spans="1:2" x14ac:dyDescent="0.25">
      <c r="A281" t="s">
        <v>4</v>
      </c>
      <c r="B281" t="s">
        <v>9</v>
      </c>
    </row>
    <row r="283" spans="1:2" x14ac:dyDescent="0.25">
      <c r="A283" t="s">
        <v>17</v>
      </c>
      <c r="B283" t="s">
        <v>1</v>
      </c>
    </row>
    <row r="285" spans="1:2" x14ac:dyDescent="0.25">
      <c r="A285" t="s">
        <v>10</v>
      </c>
      <c r="B285" t="s">
        <v>14</v>
      </c>
    </row>
    <row r="287" spans="1:2" x14ac:dyDescent="0.25">
      <c r="A287" t="s">
        <v>4</v>
      </c>
      <c r="B287" t="s">
        <v>11</v>
      </c>
    </row>
    <row r="289" spans="1:2" x14ac:dyDescent="0.25">
      <c r="A289" t="s">
        <v>2</v>
      </c>
      <c r="B289" t="s">
        <v>13</v>
      </c>
    </row>
    <row r="291" spans="1:2" x14ac:dyDescent="0.25">
      <c r="A291" t="s">
        <v>2</v>
      </c>
      <c r="B291" t="s">
        <v>3</v>
      </c>
    </row>
    <row r="293" spans="1:2" x14ac:dyDescent="0.25">
      <c r="A293" t="s">
        <v>4</v>
      </c>
      <c r="B293" t="s">
        <v>6</v>
      </c>
    </row>
    <row r="295" spans="1:2" x14ac:dyDescent="0.25">
      <c r="A295" t="s">
        <v>4</v>
      </c>
      <c r="B295" t="s">
        <v>19</v>
      </c>
    </row>
    <row r="298" spans="1:2" x14ac:dyDescent="0.25">
      <c r="A298" t="s">
        <v>31</v>
      </c>
    </row>
    <row r="300" spans="1:2" x14ac:dyDescent="0.25">
      <c r="A300" t="s">
        <v>2</v>
      </c>
      <c r="B300" t="s">
        <v>13</v>
      </c>
    </row>
    <row r="302" spans="1:2" x14ac:dyDescent="0.25">
      <c r="A302" t="s">
        <v>2</v>
      </c>
      <c r="B302" t="s">
        <v>8</v>
      </c>
    </row>
    <row r="304" spans="1:2" x14ac:dyDescent="0.25">
      <c r="A304" t="s">
        <v>10</v>
      </c>
      <c r="B304" t="s">
        <v>6</v>
      </c>
    </row>
    <row r="306" spans="1:2" x14ac:dyDescent="0.25">
      <c r="A306" t="s">
        <v>4</v>
      </c>
      <c r="B306" t="s">
        <v>18</v>
      </c>
    </row>
    <row r="308" spans="1:2" x14ac:dyDescent="0.25">
      <c r="A308" t="s">
        <v>4</v>
      </c>
      <c r="B308" t="s">
        <v>21</v>
      </c>
    </row>
    <row r="310" spans="1:2" x14ac:dyDescent="0.25">
      <c r="A310" t="s">
        <v>2</v>
      </c>
      <c r="B310" t="s">
        <v>5</v>
      </c>
    </row>
    <row r="312" spans="1:2" x14ac:dyDescent="0.25">
      <c r="A312" t="s">
        <v>4</v>
      </c>
      <c r="B312" t="s">
        <v>22</v>
      </c>
    </row>
    <row r="314" spans="1:2" x14ac:dyDescent="0.25">
      <c r="A314" t="s">
        <v>20</v>
      </c>
      <c r="B314" t="s">
        <v>11</v>
      </c>
    </row>
    <row r="316" spans="1:2" x14ac:dyDescent="0.25">
      <c r="A316" t="s">
        <v>7</v>
      </c>
      <c r="B316" t="s">
        <v>19</v>
      </c>
    </row>
    <row r="318" spans="1:2" x14ac:dyDescent="0.25">
      <c r="A318" t="s">
        <v>12</v>
      </c>
      <c r="B318" t="s">
        <v>16</v>
      </c>
    </row>
    <row r="320" spans="1:2" x14ac:dyDescent="0.25">
      <c r="A320" t="s">
        <v>2</v>
      </c>
      <c r="B320" t="s">
        <v>3</v>
      </c>
    </row>
    <row r="322" spans="1:2" x14ac:dyDescent="0.25">
      <c r="A322" t="s">
        <v>2</v>
      </c>
      <c r="B322" t="s">
        <v>15</v>
      </c>
    </row>
    <row r="324" spans="1:2" x14ac:dyDescent="0.25">
      <c r="A324" t="s">
        <v>17</v>
      </c>
      <c r="B324" t="s">
        <v>9</v>
      </c>
    </row>
    <row r="326" spans="1:2" x14ac:dyDescent="0.25">
      <c r="A326" t="s">
        <v>4</v>
      </c>
      <c r="B326" t="s">
        <v>14</v>
      </c>
    </row>
    <row r="328" spans="1:2" x14ac:dyDescent="0.25">
      <c r="A328" t="s">
        <v>4</v>
      </c>
      <c r="B328" t="s">
        <v>1</v>
      </c>
    </row>
    <row r="331" spans="1:2" x14ac:dyDescent="0.25">
      <c r="A331" t="s">
        <v>32</v>
      </c>
    </row>
    <row r="333" spans="1:2" x14ac:dyDescent="0.25">
      <c r="A333" t="s">
        <v>20</v>
      </c>
      <c r="B333" t="s">
        <v>11</v>
      </c>
    </row>
    <row r="335" spans="1:2" x14ac:dyDescent="0.25">
      <c r="A335" t="s">
        <v>2</v>
      </c>
      <c r="B335" t="s">
        <v>1</v>
      </c>
    </row>
    <row r="337" spans="1:2" x14ac:dyDescent="0.25">
      <c r="A337" t="s">
        <v>4</v>
      </c>
      <c r="B337" t="s">
        <v>15</v>
      </c>
    </row>
    <row r="339" spans="1:2" x14ac:dyDescent="0.25">
      <c r="A339" t="s">
        <v>4</v>
      </c>
      <c r="B339" t="s">
        <v>13</v>
      </c>
    </row>
    <row r="341" spans="1:2" x14ac:dyDescent="0.25">
      <c r="A341" t="s">
        <v>2</v>
      </c>
      <c r="B341" t="s">
        <v>18</v>
      </c>
    </row>
    <row r="343" spans="1:2" x14ac:dyDescent="0.25">
      <c r="A343" t="s">
        <v>2</v>
      </c>
      <c r="B343" t="s">
        <v>21</v>
      </c>
    </row>
    <row r="345" spans="1:2" x14ac:dyDescent="0.25">
      <c r="A345" t="s">
        <v>4</v>
      </c>
      <c r="B345" t="s">
        <v>8</v>
      </c>
    </row>
    <row r="347" spans="1:2" x14ac:dyDescent="0.25">
      <c r="A347" t="s">
        <v>12</v>
      </c>
      <c r="B347" t="s">
        <v>19</v>
      </c>
    </row>
    <row r="349" spans="1:2" x14ac:dyDescent="0.25">
      <c r="A349" t="s">
        <v>4</v>
      </c>
      <c r="B349" t="s">
        <v>3</v>
      </c>
    </row>
    <row r="351" spans="1:2" x14ac:dyDescent="0.25">
      <c r="A351" t="s">
        <v>2</v>
      </c>
      <c r="B351" t="s">
        <v>14</v>
      </c>
    </row>
    <row r="353" spans="1:2" x14ac:dyDescent="0.25">
      <c r="A353" t="s">
        <v>10</v>
      </c>
      <c r="B353" t="s">
        <v>16</v>
      </c>
    </row>
    <row r="355" spans="1:2" x14ac:dyDescent="0.25">
      <c r="A355" t="s">
        <v>7</v>
      </c>
      <c r="B355" t="s">
        <v>9</v>
      </c>
    </row>
    <row r="357" spans="1:2" x14ac:dyDescent="0.25">
      <c r="A357" t="s">
        <v>2</v>
      </c>
      <c r="B357" t="s">
        <v>22</v>
      </c>
    </row>
    <row r="359" spans="1:2" x14ac:dyDescent="0.25">
      <c r="A359" t="s">
        <v>17</v>
      </c>
      <c r="B359" t="s">
        <v>6</v>
      </c>
    </row>
    <row r="361" spans="1:2" x14ac:dyDescent="0.25">
      <c r="A361" t="s">
        <v>4</v>
      </c>
      <c r="B361" t="s">
        <v>5</v>
      </c>
    </row>
    <row r="364" spans="1:2" x14ac:dyDescent="0.25">
      <c r="A364" t="s">
        <v>33</v>
      </c>
    </row>
    <row r="366" spans="1:2" x14ac:dyDescent="0.25">
      <c r="A366" t="s">
        <v>12</v>
      </c>
      <c r="B366" t="s">
        <v>14</v>
      </c>
    </row>
    <row r="368" spans="1:2" x14ac:dyDescent="0.25">
      <c r="A368" t="s">
        <v>7</v>
      </c>
      <c r="B368" t="s">
        <v>18</v>
      </c>
    </row>
    <row r="370" spans="1:2" x14ac:dyDescent="0.25">
      <c r="A370" t="s">
        <v>4</v>
      </c>
      <c r="B370" t="s">
        <v>5</v>
      </c>
    </row>
    <row r="372" spans="1:2" x14ac:dyDescent="0.25">
      <c r="A372" t="s">
        <v>4</v>
      </c>
      <c r="B372" t="s">
        <v>8</v>
      </c>
    </row>
    <row r="374" spans="1:2" x14ac:dyDescent="0.25">
      <c r="A374" t="s">
        <v>2</v>
      </c>
      <c r="B374" t="s">
        <v>11</v>
      </c>
    </row>
    <row r="376" spans="1:2" x14ac:dyDescent="0.25">
      <c r="A376" t="s">
        <v>2</v>
      </c>
      <c r="B376" t="s">
        <v>6</v>
      </c>
    </row>
    <row r="378" spans="1:2" x14ac:dyDescent="0.25">
      <c r="A378" t="s">
        <v>4</v>
      </c>
      <c r="B378" t="s">
        <v>13</v>
      </c>
    </row>
    <row r="380" spans="1:2" x14ac:dyDescent="0.25">
      <c r="A380" t="s">
        <v>2</v>
      </c>
      <c r="B380" t="s">
        <v>16</v>
      </c>
    </row>
    <row r="382" spans="1:2" x14ac:dyDescent="0.25">
      <c r="A382" t="s">
        <v>20</v>
      </c>
      <c r="B382" t="s">
        <v>22</v>
      </c>
    </row>
    <row r="384" spans="1:2" x14ac:dyDescent="0.25">
      <c r="A384" t="s">
        <v>2</v>
      </c>
      <c r="B384" t="s">
        <v>19</v>
      </c>
    </row>
    <row r="386" spans="1:2" x14ac:dyDescent="0.25">
      <c r="A386" t="s">
        <v>4</v>
      </c>
      <c r="B386" t="s">
        <v>3</v>
      </c>
    </row>
    <row r="388" spans="1:2" x14ac:dyDescent="0.25">
      <c r="A388" t="s">
        <v>2</v>
      </c>
      <c r="B388" t="s">
        <v>9</v>
      </c>
    </row>
    <row r="390" spans="1:2" x14ac:dyDescent="0.25">
      <c r="A390" t="s">
        <v>17</v>
      </c>
      <c r="B390" t="s">
        <v>1</v>
      </c>
    </row>
    <row r="392" spans="1:2" x14ac:dyDescent="0.25">
      <c r="A392" t="s">
        <v>4</v>
      </c>
      <c r="B392" t="s">
        <v>15</v>
      </c>
    </row>
    <row r="394" spans="1:2" x14ac:dyDescent="0.25">
      <c r="A394" t="s">
        <v>10</v>
      </c>
      <c r="B394" t="s">
        <v>21</v>
      </c>
    </row>
    <row r="397" spans="1:2" x14ac:dyDescent="0.25">
      <c r="A397" t="s">
        <v>34</v>
      </c>
    </row>
    <row r="399" spans="1:2" x14ac:dyDescent="0.25">
      <c r="A399" t="s">
        <v>4</v>
      </c>
      <c r="B399" t="s">
        <v>13</v>
      </c>
    </row>
    <row r="401" spans="1:2" x14ac:dyDescent="0.25">
      <c r="A401" t="s">
        <v>10</v>
      </c>
      <c r="B401" t="s">
        <v>18</v>
      </c>
    </row>
    <row r="403" spans="1:2" x14ac:dyDescent="0.25">
      <c r="A403" t="s">
        <v>12</v>
      </c>
      <c r="B403" t="s">
        <v>22</v>
      </c>
    </row>
    <row r="405" spans="1:2" x14ac:dyDescent="0.25">
      <c r="A405" t="s">
        <v>4</v>
      </c>
      <c r="B405" t="s">
        <v>15</v>
      </c>
    </row>
    <row r="407" spans="1:2" x14ac:dyDescent="0.25">
      <c r="A407" t="s">
        <v>4</v>
      </c>
      <c r="B407" t="s">
        <v>5</v>
      </c>
    </row>
    <row r="409" spans="1:2" x14ac:dyDescent="0.25">
      <c r="A409" t="s">
        <v>4</v>
      </c>
      <c r="B409" t="s">
        <v>8</v>
      </c>
    </row>
    <row r="411" spans="1:2" x14ac:dyDescent="0.25">
      <c r="A411" t="s">
        <v>2</v>
      </c>
      <c r="B411" t="s">
        <v>11</v>
      </c>
    </row>
    <row r="413" spans="1:2" x14ac:dyDescent="0.25">
      <c r="A413" t="s">
        <v>17</v>
      </c>
      <c r="B413" t="s">
        <v>14</v>
      </c>
    </row>
    <row r="415" spans="1:2" x14ac:dyDescent="0.25">
      <c r="A415" t="s">
        <v>4</v>
      </c>
      <c r="B415" t="s">
        <v>3</v>
      </c>
    </row>
    <row r="417" spans="1:2" x14ac:dyDescent="0.25">
      <c r="A417" t="s">
        <v>2</v>
      </c>
      <c r="B417" t="s">
        <v>6</v>
      </c>
    </row>
    <row r="419" spans="1:2" x14ac:dyDescent="0.25">
      <c r="A419" t="s">
        <v>7</v>
      </c>
      <c r="B419" t="s">
        <v>1</v>
      </c>
    </row>
    <row r="421" spans="1:2" x14ac:dyDescent="0.25">
      <c r="A421" t="s">
        <v>2</v>
      </c>
      <c r="B421" t="s">
        <v>9</v>
      </c>
    </row>
    <row r="423" spans="1:2" x14ac:dyDescent="0.25">
      <c r="A423" t="s">
        <v>2</v>
      </c>
      <c r="B423" t="s">
        <v>16</v>
      </c>
    </row>
    <row r="425" spans="1:2" x14ac:dyDescent="0.25">
      <c r="A425" t="s">
        <v>20</v>
      </c>
      <c r="B425" t="s">
        <v>21</v>
      </c>
    </row>
    <row r="427" spans="1:2" x14ac:dyDescent="0.25">
      <c r="A427" t="s">
        <v>2</v>
      </c>
      <c r="B427" t="s">
        <v>19</v>
      </c>
    </row>
    <row r="430" spans="1:2" x14ac:dyDescent="0.25">
      <c r="A430" t="s">
        <v>35</v>
      </c>
    </row>
    <row r="432" spans="1:2" x14ac:dyDescent="0.25">
      <c r="A432" t="s">
        <v>2</v>
      </c>
      <c r="B432" t="s">
        <v>1</v>
      </c>
    </row>
    <row r="434" spans="1:2" x14ac:dyDescent="0.25">
      <c r="A434" t="s">
        <v>20</v>
      </c>
      <c r="B434" t="s">
        <v>8</v>
      </c>
    </row>
    <row r="436" spans="1:2" x14ac:dyDescent="0.25">
      <c r="A436" t="s">
        <v>2</v>
      </c>
      <c r="B436" t="s">
        <v>18</v>
      </c>
    </row>
    <row r="438" spans="1:2" x14ac:dyDescent="0.25">
      <c r="A438" t="s">
        <v>4</v>
      </c>
      <c r="B438" t="s">
        <v>19</v>
      </c>
    </row>
    <row r="440" spans="1:2" x14ac:dyDescent="0.25">
      <c r="A440" t="s">
        <v>4</v>
      </c>
      <c r="B440" t="s">
        <v>11</v>
      </c>
    </row>
    <row r="442" spans="1:2" x14ac:dyDescent="0.25">
      <c r="A442" t="s">
        <v>2</v>
      </c>
      <c r="B442" t="s">
        <v>21</v>
      </c>
    </row>
    <row r="444" spans="1:2" x14ac:dyDescent="0.25">
      <c r="A444" t="s">
        <v>12</v>
      </c>
      <c r="B444" t="s">
        <v>3</v>
      </c>
    </row>
    <row r="446" spans="1:2" x14ac:dyDescent="0.25">
      <c r="A446" t="s">
        <v>7</v>
      </c>
      <c r="B446" t="s">
        <v>13</v>
      </c>
    </row>
    <row r="448" spans="1:2" x14ac:dyDescent="0.25">
      <c r="A448" t="s">
        <v>2</v>
      </c>
      <c r="B448" t="s">
        <v>22</v>
      </c>
    </row>
    <row r="450" spans="1:2" x14ac:dyDescent="0.25">
      <c r="A450" t="s">
        <v>10</v>
      </c>
      <c r="B450" t="s">
        <v>5</v>
      </c>
    </row>
    <row r="452" spans="1:2" x14ac:dyDescent="0.25">
      <c r="A452" t="s">
        <v>4</v>
      </c>
      <c r="B452" t="s">
        <v>9</v>
      </c>
    </row>
    <row r="454" spans="1:2" x14ac:dyDescent="0.25">
      <c r="A454" t="s">
        <v>2</v>
      </c>
      <c r="B454" t="s">
        <v>14</v>
      </c>
    </row>
    <row r="456" spans="1:2" x14ac:dyDescent="0.25">
      <c r="A456" t="s">
        <v>4</v>
      </c>
      <c r="B456" t="s">
        <v>6</v>
      </c>
    </row>
    <row r="458" spans="1:2" x14ac:dyDescent="0.25">
      <c r="A458" t="s">
        <v>17</v>
      </c>
      <c r="B458" t="s">
        <v>15</v>
      </c>
    </row>
    <row r="460" spans="1:2" x14ac:dyDescent="0.25">
      <c r="A460" t="s">
        <v>4</v>
      </c>
      <c r="B460" t="s">
        <v>16</v>
      </c>
    </row>
    <row r="463" spans="1:2" x14ac:dyDescent="0.25">
      <c r="A463" t="s">
        <v>36</v>
      </c>
    </row>
    <row r="465" spans="1:2" x14ac:dyDescent="0.25">
      <c r="A465" t="s">
        <v>7</v>
      </c>
      <c r="B465" t="s">
        <v>15</v>
      </c>
    </row>
    <row r="467" spans="1:2" x14ac:dyDescent="0.25">
      <c r="A467" t="s">
        <v>2</v>
      </c>
      <c r="B467" t="s">
        <v>16</v>
      </c>
    </row>
    <row r="469" spans="1:2" x14ac:dyDescent="0.25">
      <c r="A469" t="s">
        <v>4</v>
      </c>
      <c r="B469" t="s">
        <v>14</v>
      </c>
    </row>
    <row r="471" spans="1:2" x14ac:dyDescent="0.25">
      <c r="A471" t="s">
        <v>4</v>
      </c>
      <c r="B471" t="s">
        <v>18</v>
      </c>
    </row>
    <row r="473" spans="1:2" x14ac:dyDescent="0.25">
      <c r="A473" t="s">
        <v>17</v>
      </c>
      <c r="B473" t="s">
        <v>3</v>
      </c>
    </row>
    <row r="475" spans="1:2" x14ac:dyDescent="0.25">
      <c r="A475" t="s">
        <v>12</v>
      </c>
      <c r="B475" t="s">
        <v>5</v>
      </c>
    </row>
    <row r="477" spans="1:2" x14ac:dyDescent="0.25">
      <c r="A477" t="s">
        <v>4</v>
      </c>
      <c r="B477" t="s">
        <v>22</v>
      </c>
    </row>
    <row r="479" spans="1:2" x14ac:dyDescent="0.25">
      <c r="A479" t="s">
        <v>2</v>
      </c>
      <c r="B479" t="s">
        <v>6</v>
      </c>
    </row>
    <row r="481" spans="1:2" x14ac:dyDescent="0.25">
      <c r="A481" t="s">
        <v>10</v>
      </c>
      <c r="B481" t="s">
        <v>8</v>
      </c>
    </row>
    <row r="483" spans="1:2" x14ac:dyDescent="0.25">
      <c r="A483" t="s">
        <v>2</v>
      </c>
      <c r="B483" t="s">
        <v>19</v>
      </c>
    </row>
    <row r="485" spans="1:2" x14ac:dyDescent="0.25">
      <c r="A485" t="s">
        <v>4</v>
      </c>
      <c r="B485" t="s">
        <v>21</v>
      </c>
    </row>
    <row r="487" spans="1:2" x14ac:dyDescent="0.25">
      <c r="A487" t="s">
        <v>2</v>
      </c>
      <c r="B487" t="s">
        <v>11</v>
      </c>
    </row>
    <row r="489" spans="1:2" x14ac:dyDescent="0.25">
      <c r="A489" t="s">
        <v>4</v>
      </c>
      <c r="B489" t="s">
        <v>1</v>
      </c>
    </row>
    <row r="491" spans="1:2" x14ac:dyDescent="0.25">
      <c r="A491" t="s">
        <v>2</v>
      </c>
      <c r="B491" t="s">
        <v>9</v>
      </c>
    </row>
    <row r="493" spans="1:2" x14ac:dyDescent="0.25">
      <c r="A493" t="s">
        <v>20</v>
      </c>
      <c r="B493" t="s">
        <v>13</v>
      </c>
    </row>
    <row r="496" spans="1:2" x14ac:dyDescent="0.25">
      <c r="A496" t="s">
        <v>37</v>
      </c>
    </row>
    <row r="498" spans="1:2" x14ac:dyDescent="0.25">
      <c r="A498" t="s">
        <v>12</v>
      </c>
      <c r="B498" t="s">
        <v>1</v>
      </c>
    </row>
    <row r="500" spans="1:2" x14ac:dyDescent="0.25">
      <c r="A500" t="s">
        <v>4</v>
      </c>
      <c r="B500" t="s">
        <v>6</v>
      </c>
    </row>
    <row r="502" spans="1:2" x14ac:dyDescent="0.25">
      <c r="A502" t="s">
        <v>2</v>
      </c>
      <c r="B502" t="s">
        <v>3</v>
      </c>
    </row>
    <row r="504" spans="1:2" x14ac:dyDescent="0.25">
      <c r="A504" t="s">
        <v>17</v>
      </c>
      <c r="B504" t="s">
        <v>14</v>
      </c>
    </row>
    <row r="506" spans="1:2" x14ac:dyDescent="0.25">
      <c r="A506" t="s">
        <v>2</v>
      </c>
      <c r="B506" t="s">
        <v>13</v>
      </c>
    </row>
    <row r="508" spans="1:2" x14ac:dyDescent="0.25">
      <c r="A508" t="s">
        <v>4</v>
      </c>
      <c r="B508" t="s">
        <v>9</v>
      </c>
    </row>
    <row r="510" spans="1:2" x14ac:dyDescent="0.25">
      <c r="A510" t="s">
        <v>4</v>
      </c>
      <c r="B510" t="s">
        <v>11</v>
      </c>
    </row>
    <row r="512" spans="1:2" x14ac:dyDescent="0.25">
      <c r="A512" t="s">
        <v>20</v>
      </c>
      <c r="B512" t="s">
        <v>18</v>
      </c>
    </row>
    <row r="514" spans="1:2" x14ac:dyDescent="0.25">
      <c r="A514" t="s">
        <v>10</v>
      </c>
      <c r="B514" t="s">
        <v>21</v>
      </c>
    </row>
    <row r="516" spans="1:2" x14ac:dyDescent="0.25">
      <c r="A516" t="s">
        <v>4</v>
      </c>
      <c r="B516" t="s">
        <v>19</v>
      </c>
    </row>
    <row r="518" spans="1:2" x14ac:dyDescent="0.25">
      <c r="A518" t="s">
        <v>2</v>
      </c>
      <c r="B518" t="s">
        <v>8</v>
      </c>
    </row>
    <row r="520" spans="1:2" x14ac:dyDescent="0.25">
      <c r="A520" t="s">
        <v>2</v>
      </c>
      <c r="B520" t="s">
        <v>5</v>
      </c>
    </row>
    <row r="522" spans="1:2" x14ac:dyDescent="0.25">
      <c r="A522" t="s">
        <v>7</v>
      </c>
      <c r="B522" t="s">
        <v>22</v>
      </c>
    </row>
    <row r="524" spans="1:2" x14ac:dyDescent="0.25">
      <c r="A524" t="s">
        <v>2</v>
      </c>
      <c r="B524" t="s">
        <v>15</v>
      </c>
    </row>
    <row r="526" spans="1:2" x14ac:dyDescent="0.25">
      <c r="A526" t="s">
        <v>4</v>
      </c>
      <c r="B526" t="s">
        <v>16</v>
      </c>
    </row>
    <row r="529" spans="1:2" x14ac:dyDescent="0.25">
      <c r="A529" t="s">
        <v>38</v>
      </c>
    </row>
    <row r="531" spans="1:2" x14ac:dyDescent="0.25">
      <c r="A531" t="s">
        <v>2</v>
      </c>
      <c r="B531" t="s">
        <v>3</v>
      </c>
    </row>
    <row r="533" spans="1:2" x14ac:dyDescent="0.25">
      <c r="A533" t="s">
        <v>2</v>
      </c>
      <c r="B533" t="s">
        <v>8</v>
      </c>
    </row>
    <row r="535" spans="1:2" x14ac:dyDescent="0.25">
      <c r="A535" t="s">
        <v>7</v>
      </c>
      <c r="B535" t="s">
        <v>19</v>
      </c>
    </row>
    <row r="537" spans="1:2" x14ac:dyDescent="0.25">
      <c r="A537" t="s">
        <v>4</v>
      </c>
      <c r="B537" t="s">
        <v>1</v>
      </c>
    </row>
    <row r="539" spans="1:2" x14ac:dyDescent="0.25">
      <c r="A539" t="s">
        <v>4</v>
      </c>
      <c r="B539" t="s">
        <v>18</v>
      </c>
    </row>
    <row r="541" spans="1:2" x14ac:dyDescent="0.25">
      <c r="A541" t="s">
        <v>12</v>
      </c>
      <c r="B541" t="s">
        <v>11</v>
      </c>
    </row>
    <row r="543" spans="1:2" x14ac:dyDescent="0.25">
      <c r="A543" t="s">
        <v>4</v>
      </c>
      <c r="B543" t="s">
        <v>22</v>
      </c>
    </row>
    <row r="545" spans="1:2" x14ac:dyDescent="0.25">
      <c r="A545" t="s">
        <v>17</v>
      </c>
      <c r="B545" t="s">
        <v>6</v>
      </c>
    </row>
    <row r="547" spans="1:2" x14ac:dyDescent="0.25">
      <c r="A547" t="s">
        <v>2</v>
      </c>
      <c r="B547" t="s">
        <v>15</v>
      </c>
    </row>
    <row r="549" spans="1:2" x14ac:dyDescent="0.25">
      <c r="A549" t="s">
        <v>20</v>
      </c>
      <c r="B549" t="s">
        <v>16</v>
      </c>
    </row>
    <row r="551" spans="1:2" x14ac:dyDescent="0.25">
      <c r="A551" t="s">
        <v>4</v>
      </c>
      <c r="B551" t="s">
        <v>21</v>
      </c>
    </row>
    <row r="553" spans="1:2" x14ac:dyDescent="0.25">
      <c r="A553" t="s">
        <v>2</v>
      </c>
      <c r="B553" t="s">
        <v>5</v>
      </c>
    </row>
    <row r="555" spans="1:2" x14ac:dyDescent="0.25">
      <c r="A555" t="s">
        <v>4</v>
      </c>
      <c r="B555" t="s">
        <v>14</v>
      </c>
    </row>
    <row r="557" spans="1:2" x14ac:dyDescent="0.25">
      <c r="A557" t="s">
        <v>2</v>
      </c>
      <c r="B557" t="s">
        <v>13</v>
      </c>
    </row>
    <row r="559" spans="1:2" x14ac:dyDescent="0.25">
      <c r="A559" t="s">
        <v>10</v>
      </c>
      <c r="B559" t="s">
        <v>9</v>
      </c>
    </row>
    <row r="562" spans="1:2" x14ac:dyDescent="0.25">
      <c r="A562" t="s">
        <v>39</v>
      </c>
    </row>
    <row r="564" spans="1:2" x14ac:dyDescent="0.25">
      <c r="A564" t="s">
        <v>4</v>
      </c>
      <c r="B564" t="s">
        <v>3</v>
      </c>
    </row>
    <row r="566" spans="1:2" x14ac:dyDescent="0.25">
      <c r="A566" t="s">
        <v>2</v>
      </c>
      <c r="B566" t="s">
        <v>21</v>
      </c>
    </row>
    <row r="568" spans="1:2" x14ac:dyDescent="0.25">
      <c r="A568" t="s">
        <v>20</v>
      </c>
      <c r="B568" t="s">
        <v>16</v>
      </c>
    </row>
    <row r="570" spans="1:2" x14ac:dyDescent="0.25">
      <c r="A570" t="s">
        <v>12</v>
      </c>
      <c r="B570" t="s">
        <v>9</v>
      </c>
    </row>
    <row r="572" spans="1:2" x14ac:dyDescent="0.25">
      <c r="A572" t="s">
        <v>4</v>
      </c>
      <c r="B572" t="s">
        <v>5</v>
      </c>
    </row>
    <row r="574" spans="1:2" x14ac:dyDescent="0.25">
      <c r="A574" t="s">
        <v>7</v>
      </c>
      <c r="B574" t="s">
        <v>6</v>
      </c>
    </row>
    <row r="576" spans="1:2" x14ac:dyDescent="0.25">
      <c r="A576" t="s">
        <v>4</v>
      </c>
      <c r="B576" t="s">
        <v>8</v>
      </c>
    </row>
    <row r="578" spans="1:2" x14ac:dyDescent="0.25">
      <c r="A578" t="s">
        <v>2</v>
      </c>
      <c r="B578" t="s">
        <v>1</v>
      </c>
    </row>
    <row r="580" spans="1:2" x14ac:dyDescent="0.25">
      <c r="A580" t="s">
        <v>4</v>
      </c>
      <c r="B580" t="s">
        <v>13</v>
      </c>
    </row>
    <row r="582" spans="1:2" x14ac:dyDescent="0.25">
      <c r="A582" t="s">
        <v>2</v>
      </c>
      <c r="B582" t="s">
        <v>14</v>
      </c>
    </row>
    <row r="584" spans="1:2" x14ac:dyDescent="0.25">
      <c r="A584" t="s">
        <v>4</v>
      </c>
      <c r="B584" t="s">
        <v>15</v>
      </c>
    </row>
    <row r="586" spans="1:2" x14ac:dyDescent="0.25">
      <c r="A586" t="s">
        <v>10</v>
      </c>
      <c r="B586" t="s">
        <v>19</v>
      </c>
    </row>
    <row r="588" spans="1:2" x14ac:dyDescent="0.25">
      <c r="A588" t="s">
        <v>2</v>
      </c>
      <c r="B588" t="s">
        <v>18</v>
      </c>
    </row>
    <row r="590" spans="1:2" x14ac:dyDescent="0.25">
      <c r="A590" t="s">
        <v>2</v>
      </c>
      <c r="B590" t="s">
        <v>22</v>
      </c>
    </row>
    <row r="592" spans="1:2" x14ac:dyDescent="0.25">
      <c r="A592" t="s">
        <v>17</v>
      </c>
      <c r="B592" t="s">
        <v>11</v>
      </c>
    </row>
    <row r="595" spans="1:2" x14ac:dyDescent="0.25">
      <c r="A595" t="s">
        <v>40</v>
      </c>
    </row>
    <row r="597" spans="1:2" x14ac:dyDescent="0.25">
      <c r="A597" t="s">
        <v>17</v>
      </c>
      <c r="B597" t="s">
        <v>22</v>
      </c>
    </row>
    <row r="599" spans="1:2" x14ac:dyDescent="0.25">
      <c r="A599" t="s">
        <v>2</v>
      </c>
      <c r="B599" t="s">
        <v>11</v>
      </c>
    </row>
    <row r="601" spans="1:2" x14ac:dyDescent="0.25">
      <c r="A601" t="s">
        <v>4</v>
      </c>
      <c r="B601" t="s">
        <v>15</v>
      </c>
    </row>
    <row r="603" spans="1:2" x14ac:dyDescent="0.25">
      <c r="A603" t="s">
        <v>7</v>
      </c>
      <c r="B603" t="s">
        <v>14</v>
      </c>
    </row>
    <row r="605" spans="1:2" x14ac:dyDescent="0.25">
      <c r="A605" t="s">
        <v>2</v>
      </c>
      <c r="B605" t="s">
        <v>16</v>
      </c>
    </row>
    <row r="607" spans="1:2" x14ac:dyDescent="0.25">
      <c r="A607" t="s">
        <v>20</v>
      </c>
      <c r="B607" t="s">
        <v>21</v>
      </c>
    </row>
    <row r="609" spans="1:2" x14ac:dyDescent="0.25">
      <c r="A609" t="s">
        <v>4</v>
      </c>
      <c r="B609" t="s">
        <v>13</v>
      </c>
    </row>
    <row r="611" spans="1:2" x14ac:dyDescent="0.25">
      <c r="A611" t="s">
        <v>10</v>
      </c>
      <c r="B611" t="s">
        <v>1</v>
      </c>
    </row>
    <row r="613" spans="1:2" x14ac:dyDescent="0.25">
      <c r="A613" t="s">
        <v>4</v>
      </c>
      <c r="B613" t="s">
        <v>8</v>
      </c>
    </row>
    <row r="615" spans="1:2" x14ac:dyDescent="0.25">
      <c r="A615" t="s">
        <v>2</v>
      </c>
      <c r="B615" t="s">
        <v>19</v>
      </c>
    </row>
    <row r="617" spans="1:2" x14ac:dyDescent="0.25">
      <c r="A617" t="s">
        <v>4</v>
      </c>
      <c r="B617" t="s">
        <v>3</v>
      </c>
    </row>
    <row r="619" spans="1:2" x14ac:dyDescent="0.25">
      <c r="A619" t="s">
        <v>4</v>
      </c>
      <c r="B619" t="s">
        <v>5</v>
      </c>
    </row>
    <row r="621" spans="1:2" x14ac:dyDescent="0.25">
      <c r="A621" t="s">
        <v>12</v>
      </c>
      <c r="B621" t="s">
        <v>18</v>
      </c>
    </row>
    <row r="623" spans="1:2" x14ac:dyDescent="0.25">
      <c r="A623" t="s">
        <v>2</v>
      </c>
      <c r="B623" t="s">
        <v>9</v>
      </c>
    </row>
    <row r="625" spans="1:2" x14ac:dyDescent="0.25">
      <c r="A625" t="s">
        <v>2</v>
      </c>
      <c r="B625" t="s">
        <v>6</v>
      </c>
    </row>
    <row r="628" spans="1:2" x14ac:dyDescent="0.25">
      <c r="A628" t="s">
        <v>41</v>
      </c>
    </row>
    <row r="630" spans="1:2" x14ac:dyDescent="0.25">
      <c r="A630" t="s">
        <v>7</v>
      </c>
      <c r="B630" t="s">
        <v>3</v>
      </c>
    </row>
    <row r="632" spans="1:2" x14ac:dyDescent="0.25">
      <c r="A632" t="s">
        <v>4</v>
      </c>
      <c r="B632" t="s">
        <v>16</v>
      </c>
    </row>
    <row r="634" spans="1:2" x14ac:dyDescent="0.25">
      <c r="A634" t="s">
        <v>4</v>
      </c>
      <c r="B634" t="s">
        <v>9</v>
      </c>
    </row>
    <row r="636" spans="1:2" x14ac:dyDescent="0.25">
      <c r="A636" t="s">
        <v>2</v>
      </c>
      <c r="B636" t="s">
        <v>14</v>
      </c>
    </row>
    <row r="638" spans="1:2" x14ac:dyDescent="0.25">
      <c r="A638" t="s">
        <v>2</v>
      </c>
      <c r="B638" t="s">
        <v>1</v>
      </c>
    </row>
    <row r="640" spans="1:2" x14ac:dyDescent="0.25">
      <c r="A640" t="s">
        <v>12</v>
      </c>
      <c r="B640" t="s">
        <v>5</v>
      </c>
    </row>
    <row r="642" spans="1:2" x14ac:dyDescent="0.25">
      <c r="A642" t="s">
        <v>2</v>
      </c>
      <c r="B642" t="s">
        <v>22</v>
      </c>
    </row>
    <row r="644" spans="1:2" x14ac:dyDescent="0.25">
      <c r="A644" t="s">
        <v>2</v>
      </c>
      <c r="B644" t="s">
        <v>21</v>
      </c>
    </row>
    <row r="646" spans="1:2" x14ac:dyDescent="0.25">
      <c r="A646" t="s">
        <v>17</v>
      </c>
      <c r="B646" t="s">
        <v>8</v>
      </c>
    </row>
    <row r="648" spans="1:2" x14ac:dyDescent="0.25">
      <c r="A648" t="s">
        <v>4</v>
      </c>
      <c r="B648" t="s">
        <v>6</v>
      </c>
    </row>
    <row r="650" spans="1:2" x14ac:dyDescent="0.25">
      <c r="A650" t="s">
        <v>2</v>
      </c>
      <c r="B650" t="s">
        <v>18</v>
      </c>
    </row>
    <row r="652" spans="1:2" x14ac:dyDescent="0.25">
      <c r="A652" t="s">
        <v>10</v>
      </c>
      <c r="B652" t="s">
        <v>13</v>
      </c>
    </row>
    <row r="654" spans="1:2" x14ac:dyDescent="0.25">
      <c r="A654" t="s">
        <v>4</v>
      </c>
      <c r="B654" t="s">
        <v>11</v>
      </c>
    </row>
    <row r="656" spans="1:2" x14ac:dyDescent="0.25">
      <c r="A656" t="s">
        <v>20</v>
      </c>
      <c r="B656" t="s">
        <v>15</v>
      </c>
    </row>
    <row r="658" spans="1:2" x14ac:dyDescent="0.25">
      <c r="A658" t="s">
        <v>4</v>
      </c>
      <c r="B658" t="s">
        <v>19</v>
      </c>
    </row>
    <row r="661" spans="1:2" x14ac:dyDescent="0.25">
      <c r="A661" t="s">
        <v>42</v>
      </c>
    </row>
    <row r="663" spans="1:2" x14ac:dyDescent="0.25">
      <c r="A663" t="s">
        <v>20</v>
      </c>
      <c r="B663" t="s">
        <v>13</v>
      </c>
    </row>
    <row r="665" spans="1:2" x14ac:dyDescent="0.25">
      <c r="A665" t="s">
        <v>7</v>
      </c>
      <c r="B665" t="s">
        <v>3</v>
      </c>
    </row>
    <row r="667" spans="1:2" x14ac:dyDescent="0.25">
      <c r="A667" t="s">
        <v>4</v>
      </c>
      <c r="B667" t="s">
        <v>22</v>
      </c>
    </row>
    <row r="669" spans="1:2" x14ac:dyDescent="0.25">
      <c r="A669" t="s">
        <v>4</v>
      </c>
      <c r="B669" t="s">
        <v>1</v>
      </c>
    </row>
    <row r="671" spans="1:2" x14ac:dyDescent="0.25">
      <c r="A671" t="s">
        <v>12</v>
      </c>
      <c r="B671" t="s">
        <v>5</v>
      </c>
    </row>
    <row r="673" spans="1:2" x14ac:dyDescent="0.25">
      <c r="A673" t="s">
        <v>4</v>
      </c>
      <c r="B673" t="s">
        <v>21</v>
      </c>
    </row>
    <row r="675" spans="1:2" x14ac:dyDescent="0.25">
      <c r="A675" t="s">
        <v>4</v>
      </c>
      <c r="B675" t="s">
        <v>18</v>
      </c>
    </row>
    <row r="677" spans="1:2" x14ac:dyDescent="0.25">
      <c r="A677" t="s">
        <v>2</v>
      </c>
      <c r="B677" t="s">
        <v>9</v>
      </c>
    </row>
    <row r="679" spans="1:2" x14ac:dyDescent="0.25">
      <c r="A679" t="s">
        <v>2</v>
      </c>
      <c r="B679" t="s">
        <v>19</v>
      </c>
    </row>
    <row r="681" spans="1:2" x14ac:dyDescent="0.25">
      <c r="A681" t="s">
        <v>10</v>
      </c>
      <c r="B681" t="s">
        <v>8</v>
      </c>
    </row>
    <row r="683" spans="1:2" x14ac:dyDescent="0.25">
      <c r="A683" t="s">
        <v>2</v>
      </c>
      <c r="B683" t="s">
        <v>6</v>
      </c>
    </row>
    <row r="685" spans="1:2" x14ac:dyDescent="0.25">
      <c r="A685" t="s">
        <v>2</v>
      </c>
      <c r="B685" t="s">
        <v>16</v>
      </c>
    </row>
    <row r="687" spans="1:2" x14ac:dyDescent="0.25">
      <c r="A687" t="s">
        <v>4</v>
      </c>
      <c r="B687" t="s">
        <v>14</v>
      </c>
    </row>
    <row r="689" spans="1:2" x14ac:dyDescent="0.25">
      <c r="A689" t="s">
        <v>2</v>
      </c>
      <c r="B689" t="s">
        <v>11</v>
      </c>
    </row>
    <row r="691" spans="1:2" x14ac:dyDescent="0.25">
      <c r="A691" t="s">
        <v>17</v>
      </c>
      <c r="B691" t="s">
        <v>15</v>
      </c>
    </row>
    <row r="694" spans="1:2" x14ac:dyDescent="0.25">
      <c r="A694" t="s">
        <v>43</v>
      </c>
    </row>
    <row r="696" spans="1:2" x14ac:dyDescent="0.25">
      <c r="A696" t="s">
        <v>4</v>
      </c>
      <c r="B696" t="s">
        <v>19</v>
      </c>
    </row>
    <row r="698" spans="1:2" x14ac:dyDescent="0.25">
      <c r="A698" t="s">
        <v>4</v>
      </c>
      <c r="B698" t="s">
        <v>16</v>
      </c>
    </row>
    <row r="700" spans="1:2" x14ac:dyDescent="0.25">
      <c r="A700" t="s">
        <v>2</v>
      </c>
      <c r="B700" t="s">
        <v>3</v>
      </c>
    </row>
    <row r="702" spans="1:2" x14ac:dyDescent="0.25">
      <c r="A702" t="s">
        <v>10</v>
      </c>
      <c r="B702" t="s">
        <v>21</v>
      </c>
    </row>
    <row r="704" spans="1:2" x14ac:dyDescent="0.25">
      <c r="A704" t="s">
        <v>2</v>
      </c>
      <c r="B704" t="s">
        <v>8</v>
      </c>
    </row>
    <row r="706" spans="1:2" x14ac:dyDescent="0.25">
      <c r="A706" t="s">
        <v>4</v>
      </c>
      <c r="B706" t="s">
        <v>6</v>
      </c>
    </row>
    <row r="708" spans="1:2" x14ac:dyDescent="0.25">
      <c r="A708" t="s">
        <v>2</v>
      </c>
      <c r="B708" t="s">
        <v>13</v>
      </c>
    </row>
    <row r="710" spans="1:2" x14ac:dyDescent="0.25">
      <c r="A710" t="s">
        <v>2</v>
      </c>
      <c r="B710" t="s">
        <v>5</v>
      </c>
    </row>
    <row r="712" spans="1:2" x14ac:dyDescent="0.25">
      <c r="A712" t="s">
        <v>4</v>
      </c>
      <c r="B712" t="s">
        <v>9</v>
      </c>
    </row>
    <row r="714" spans="1:2" x14ac:dyDescent="0.25">
      <c r="A714" t="s">
        <v>20</v>
      </c>
      <c r="B714" t="s">
        <v>14</v>
      </c>
    </row>
    <row r="716" spans="1:2" x14ac:dyDescent="0.25">
      <c r="A716" t="s">
        <v>12</v>
      </c>
      <c r="B716" t="s">
        <v>1</v>
      </c>
    </row>
    <row r="718" spans="1:2" x14ac:dyDescent="0.25">
      <c r="A718" t="s">
        <v>7</v>
      </c>
      <c r="B718" t="s">
        <v>22</v>
      </c>
    </row>
    <row r="720" spans="1:2" x14ac:dyDescent="0.25">
      <c r="A720" t="s">
        <v>2</v>
      </c>
      <c r="B720" t="s">
        <v>15</v>
      </c>
    </row>
    <row r="722" spans="1:2" x14ac:dyDescent="0.25">
      <c r="A722" t="s">
        <v>4</v>
      </c>
      <c r="B722" t="s">
        <v>11</v>
      </c>
    </row>
    <row r="724" spans="1:2" x14ac:dyDescent="0.25">
      <c r="A724" t="s">
        <v>17</v>
      </c>
      <c r="B724" t="s">
        <v>18</v>
      </c>
    </row>
    <row r="727" spans="1:2" x14ac:dyDescent="0.25">
      <c r="A727" t="s">
        <v>44</v>
      </c>
    </row>
    <row r="729" spans="1:2" x14ac:dyDescent="0.25">
      <c r="A729" t="s">
        <v>4</v>
      </c>
      <c r="B729" t="s">
        <v>16</v>
      </c>
    </row>
    <row r="731" spans="1:2" x14ac:dyDescent="0.25">
      <c r="A731" t="s">
        <v>2</v>
      </c>
      <c r="B731" t="s">
        <v>22</v>
      </c>
    </row>
    <row r="733" spans="1:2" x14ac:dyDescent="0.25">
      <c r="A733" t="s">
        <v>2</v>
      </c>
      <c r="B733" t="s">
        <v>1</v>
      </c>
    </row>
    <row r="735" spans="1:2" x14ac:dyDescent="0.25">
      <c r="A735" t="s">
        <v>10</v>
      </c>
      <c r="B735" t="s">
        <v>13</v>
      </c>
    </row>
    <row r="737" spans="1:2" x14ac:dyDescent="0.25">
      <c r="A737" t="s">
        <v>4</v>
      </c>
      <c r="B737" t="s">
        <v>11</v>
      </c>
    </row>
    <row r="739" spans="1:2" x14ac:dyDescent="0.25">
      <c r="A739" t="s">
        <v>12</v>
      </c>
      <c r="B739" t="s">
        <v>8</v>
      </c>
    </row>
    <row r="741" spans="1:2" x14ac:dyDescent="0.25">
      <c r="A741" t="s">
        <v>17</v>
      </c>
      <c r="B741" t="s">
        <v>5</v>
      </c>
    </row>
    <row r="743" spans="1:2" x14ac:dyDescent="0.25">
      <c r="A743" t="s">
        <v>2</v>
      </c>
      <c r="B743" t="s">
        <v>21</v>
      </c>
    </row>
    <row r="745" spans="1:2" x14ac:dyDescent="0.25">
      <c r="A745" t="s">
        <v>7</v>
      </c>
      <c r="B745" t="s">
        <v>15</v>
      </c>
    </row>
    <row r="747" spans="1:2" x14ac:dyDescent="0.25">
      <c r="A747" t="s">
        <v>4</v>
      </c>
      <c r="B747" t="s">
        <v>6</v>
      </c>
    </row>
    <row r="749" spans="1:2" x14ac:dyDescent="0.25">
      <c r="A749" t="s">
        <v>4</v>
      </c>
      <c r="B749" t="s">
        <v>9</v>
      </c>
    </row>
    <row r="751" spans="1:2" x14ac:dyDescent="0.25">
      <c r="A751" t="s">
        <v>4</v>
      </c>
      <c r="B751" t="s">
        <v>19</v>
      </c>
    </row>
    <row r="753" spans="1:2" x14ac:dyDescent="0.25">
      <c r="A753" t="s">
        <v>2</v>
      </c>
      <c r="B753" t="s">
        <v>18</v>
      </c>
    </row>
    <row r="755" spans="1:2" x14ac:dyDescent="0.25">
      <c r="A755" t="s">
        <v>20</v>
      </c>
      <c r="B755" t="s">
        <v>3</v>
      </c>
    </row>
    <row r="757" spans="1:2" x14ac:dyDescent="0.25">
      <c r="A757" t="s">
        <v>2</v>
      </c>
      <c r="B757" t="s">
        <v>14</v>
      </c>
    </row>
    <row r="760" spans="1:2" x14ac:dyDescent="0.25">
      <c r="A760" t="s">
        <v>45</v>
      </c>
    </row>
    <row r="762" spans="1:2" x14ac:dyDescent="0.25">
      <c r="A762" t="s">
        <v>2</v>
      </c>
      <c r="B762" t="s">
        <v>8</v>
      </c>
    </row>
    <row r="764" spans="1:2" x14ac:dyDescent="0.25">
      <c r="A764" t="s">
        <v>2</v>
      </c>
      <c r="B764" t="s">
        <v>15</v>
      </c>
    </row>
    <row r="766" spans="1:2" x14ac:dyDescent="0.25">
      <c r="A766" t="s">
        <v>2</v>
      </c>
      <c r="B766" t="s">
        <v>3</v>
      </c>
    </row>
    <row r="768" spans="1:2" x14ac:dyDescent="0.25">
      <c r="A768" t="s">
        <v>4</v>
      </c>
      <c r="B768" t="s">
        <v>22</v>
      </c>
    </row>
    <row r="770" spans="1:2" x14ac:dyDescent="0.25">
      <c r="A770" t="s">
        <v>4</v>
      </c>
      <c r="B770" t="s">
        <v>21</v>
      </c>
    </row>
    <row r="772" spans="1:2" x14ac:dyDescent="0.25">
      <c r="A772" t="s">
        <v>20</v>
      </c>
      <c r="B772" t="s">
        <v>6</v>
      </c>
    </row>
    <row r="774" spans="1:2" x14ac:dyDescent="0.25">
      <c r="A774" t="s">
        <v>10</v>
      </c>
      <c r="B774" t="s">
        <v>11</v>
      </c>
    </row>
    <row r="776" spans="1:2" x14ac:dyDescent="0.25">
      <c r="A776" t="s">
        <v>4</v>
      </c>
      <c r="B776" t="s">
        <v>18</v>
      </c>
    </row>
    <row r="778" spans="1:2" x14ac:dyDescent="0.25">
      <c r="A778" t="s">
        <v>4</v>
      </c>
      <c r="B778" t="s">
        <v>1</v>
      </c>
    </row>
    <row r="780" spans="1:2" x14ac:dyDescent="0.25">
      <c r="A780" t="s">
        <v>2</v>
      </c>
      <c r="B780" t="s">
        <v>13</v>
      </c>
    </row>
    <row r="782" spans="1:2" x14ac:dyDescent="0.25">
      <c r="A782" t="s">
        <v>4</v>
      </c>
      <c r="B782" t="s">
        <v>14</v>
      </c>
    </row>
    <row r="784" spans="1:2" x14ac:dyDescent="0.25">
      <c r="A784" t="s">
        <v>12</v>
      </c>
      <c r="B784" t="s">
        <v>19</v>
      </c>
    </row>
    <row r="786" spans="1:2" x14ac:dyDescent="0.25">
      <c r="A786" t="s">
        <v>2</v>
      </c>
      <c r="B786" t="s">
        <v>5</v>
      </c>
    </row>
    <row r="788" spans="1:2" x14ac:dyDescent="0.25">
      <c r="A788" t="s">
        <v>17</v>
      </c>
      <c r="B788" t="s">
        <v>9</v>
      </c>
    </row>
    <row r="790" spans="1:2" x14ac:dyDescent="0.25">
      <c r="A790" t="s">
        <v>7</v>
      </c>
      <c r="B790" t="s">
        <v>16</v>
      </c>
    </row>
    <row r="793" spans="1:2" x14ac:dyDescent="0.25">
      <c r="A793" t="s">
        <v>46</v>
      </c>
    </row>
    <row r="795" spans="1:2" x14ac:dyDescent="0.25">
      <c r="A795" t="s">
        <v>4</v>
      </c>
      <c r="B795" t="s">
        <v>5</v>
      </c>
    </row>
    <row r="797" spans="1:2" x14ac:dyDescent="0.25">
      <c r="A797" t="s">
        <v>17</v>
      </c>
      <c r="B797" t="s">
        <v>16</v>
      </c>
    </row>
    <row r="799" spans="1:2" x14ac:dyDescent="0.25">
      <c r="A799" t="s">
        <v>4</v>
      </c>
      <c r="B799" t="s">
        <v>8</v>
      </c>
    </row>
    <row r="801" spans="1:2" x14ac:dyDescent="0.25">
      <c r="A801" t="s">
        <v>4</v>
      </c>
      <c r="B801" t="s">
        <v>3</v>
      </c>
    </row>
    <row r="803" spans="1:2" x14ac:dyDescent="0.25">
      <c r="A803" t="s">
        <v>20</v>
      </c>
      <c r="B803" t="s">
        <v>11</v>
      </c>
    </row>
    <row r="805" spans="1:2" x14ac:dyDescent="0.25">
      <c r="A805" t="s">
        <v>2</v>
      </c>
      <c r="B805" t="s">
        <v>21</v>
      </c>
    </row>
    <row r="807" spans="1:2" x14ac:dyDescent="0.25">
      <c r="A807" t="s">
        <v>2</v>
      </c>
      <c r="B807" t="s">
        <v>14</v>
      </c>
    </row>
    <row r="809" spans="1:2" x14ac:dyDescent="0.25">
      <c r="A809" t="s">
        <v>2</v>
      </c>
      <c r="B809" t="s">
        <v>18</v>
      </c>
    </row>
    <row r="811" spans="1:2" x14ac:dyDescent="0.25">
      <c r="A811" t="s">
        <v>12</v>
      </c>
      <c r="B811" t="s">
        <v>9</v>
      </c>
    </row>
    <row r="813" spans="1:2" x14ac:dyDescent="0.25">
      <c r="A813" t="s">
        <v>4</v>
      </c>
      <c r="B813" t="s">
        <v>15</v>
      </c>
    </row>
    <row r="815" spans="1:2" x14ac:dyDescent="0.25">
      <c r="A815" t="s">
        <v>7</v>
      </c>
      <c r="B815" t="s">
        <v>19</v>
      </c>
    </row>
    <row r="817" spans="1:2" x14ac:dyDescent="0.25">
      <c r="A817" t="s">
        <v>10</v>
      </c>
      <c r="B817" t="s">
        <v>6</v>
      </c>
    </row>
    <row r="819" spans="1:2" x14ac:dyDescent="0.25">
      <c r="A819" t="s">
        <v>4</v>
      </c>
      <c r="B819" t="s">
        <v>13</v>
      </c>
    </row>
    <row r="821" spans="1:2" x14ac:dyDescent="0.25">
      <c r="A821" t="s">
        <v>2</v>
      </c>
      <c r="B821" t="s">
        <v>22</v>
      </c>
    </row>
    <row r="823" spans="1:2" x14ac:dyDescent="0.25">
      <c r="A823" t="s">
        <v>2</v>
      </c>
      <c r="B823" t="s">
        <v>1</v>
      </c>
    </row>
    <row r="826" spans="1:2" x14ac:dyDescent="0.25">
      <c r="A826" t="s">
        <v>47</v>
      </c>
    </row>
    <row r="828" spans="1:2" x14ac:dyDescent="0.25">
      <c r="A828" t="s">
        <v>2</v>
      </c>
      <c r="B828" t="s">
        <v>6</v>
      </c>
    </row>
    <row r="830" spans="1:2" x14ac:dyDescent="0.25">
      <c r="A830" t="s">
        <v>2</v>
      </c>
      <c r="B830" t="s">
        <v>9</v>
      </c>
    </row>
    <row r="832" spans="1:2" x14ac:dyDescent="0.25">
      <c r="A832" t="s">
        <v>4</v>
      </c>
      <c r="B832" t="s">
        <v>8</v>
      </c>
    </row>
    <row r="834" spans="1:2" x14ac:dyDescent="0.25">
      <c r="A834" t="s">
        <v>4</v>
      </c>
      <c r="B834" t="s">
        <v>13</v>
      </c>
    </row>
    <row r="836" spans="1:2" x14ac:dyDescent="0.25">
      <c r="A836" t="s">
        <v>17</v>
      </c>
      <c r="B836" t="s">
        <v>22</v>
      </c>
    </row>
    <row r="838" spans="1:2" x14ac:dyDescent="0.25">
      <c r="A838" t="s">
        <v>2</v>
      </c>
      <c r="B838" t="s">
        <v>16</v>
      </c>
    </row>
    <row r="840" spans="1:2" x14ac:dyDescent="0.25">
      <c r="A840" t="s">
        <v>4</v>
      </c>
      <c r="B840" t="s">
        <v>3</v>
      </c>
    </row>
    <row r="842" spans="1:2" x14ac:dyDescent="0.25">
      <c r="A842" t="s">
        <v>2</v>
      </c>
      <c r="B842" t="s">
        <v>19</v>
      </c>
    </row>
    <row r="844" spans="1:2" x14ac:dyDescent="0.25">
      <c r="A844" t="s">
        <v>10</v>
      </c>
      <c r="B844" t="s">
        <v>1</v>
      </c>
    </row>
    <row r="846" spans="1:2" x14ac:dyDescent="0.25">
      <c r="A846" t="s">
        <v>7</v>
      </c>
      <c r="B846" t="s">
        <v>18</v>
      </c>
    </row>
    <row r="848" spans="1:2" x14ac:dyDescent="0.25">
      <c r="A848" t="s">
        <v>4</v>
      </c>
      <c r="B848" t="s">
        <v>5</v>
      </c>
    </row>
    <row r="850" spans="1:2" x14ac:dyDescent="0.25">
      <c r="A850" t="s">
        <v>2</v>
      </c>
      <c r="B850" t="s">
        <v>11</v>
      </c>
    </row>
    <row r="852" spans="1:2" x14ac:dyDescent="0.25">
      <c r="A852" t="s">
        <v>12</v>
      </c>
      <c r="B852" t="s">
        <v>14</v>
      </c>
    </row>
    <row r="854" spans="1:2" x14ac:dyDescent="0.25">
      <c r="A854" t="s">
        <v>4</v>
      </c>
      <c r="B854" t="s">
        <v>15</v>
      </c>
    </row>
    <row r="856" spans="1:2" x14ac:dyDescent="0.25">
      <c r="A856" t="s">
        <v>20</v>
      </c>
      <c r="B856" t="s">
        <v>21</v>
      </c>
    </row>
    <row r="859" spans="1:2" x14ac:dyDescent="0.25">
      <c r="A859" t="s">
        <v>48</v>
      </c>
    </row>
    <row r="861" spans="1:2" x14ac:dyDescent="0.25">
      <c r="A861" t="s">
        <v>4</v>
      </c>
      <c r="B861" t="s">
        <v>6</v>
      </c>
    </row>
    <row r="863" spans="1:2" x14ac:dyDescent="0.25">
      <c r="A863" t="s">
        <v>4</v>
      </c>
      <c r="B863" t="s">
        <v>19</v>
      </c>
    </row>
    <row r="865" spans="1:2" x14ac:dyDescent="0.25">
      <c r="A865" t="s">
        <v>4</v>
      </c>
      <c r="B865" t="s">
        <v>9</v>
      </c>
    </row>
    <row r="867" spans="1:2" x14ac:dyDescent="0.25">
      <c r="A867" t="s">
        <v>7</v>
      </c>
      <c r="B867" t="s">
        <v>13</v>
      </c>
    </row>
    <row r="869" spans="1:2" x14ac:dyDescent="0.25">
      <c r="A869" t="s">
        <v>2</v>
      </c>
      <c r="B869" t="s">
        <v>22</v>
      </c>
    </row>
    <row r="871" spans="1:2" x14ac:dyDescent="0.25">
      <c r="A871" t="s">
        <v>10</v>
      </c>
      <c r="B871" t="s">
        <v>15</v>
      </c>
    </row>
    <row r="873" spans="1:2" x14ac:dyDescent="0.25">
      <c r="A873" t="s">
        <v>12</v>
      </c>
      <c r="B873" t="s">
        <v>3</v>
      </c>
    </row>
    <row r="875" spans="1:2" x14ac:dyDescent="0.25">
      <c r="A875" t="s">
        <v>4</v>
      </c>
      <c r="B875" t="s">
        <v>11</v>
      </c>
    </row>
    <row r="877" spans="1:2" x14ac:dyDescent="0.25">
      <c r="A877" t="s">
        <v>2</v>
      </c>
      <c r="B877" t="s">
        <v>18</v>
      </c>
    </row>
    <row r="879" spans="1:2" x14ac:dyDescent="0.25">
      <c r="A879" t="s">
        <v>2</v>
      </c>
      <c r="B879" t="s">
        <v>1</v>
      </c>
    </row>
    <row r="881" spans="1:2" x14ac:dyDescent="0.25">
      <c r="A881" t="s">
        <v>17</v>
      </c>
      <c r="B881" t="s">
        <v>5</v>
      </c>
    </row>
    <row r="883" spans="1:2" x14ac:dyDescent="0.25">
      <c r="A883" t="s">
        <v>4</v>
      </c>
      <c r="B883" t="s">
        <v>16</v>
      </c>
    </row>
    <row r="885" spans="1:2" x14ac:dyDescent="0.25">
      <c r="A885" t="s">
        <v>2</v>
      </c>
      <c r="B885" t="s">
        <v>21</v>
      </c>
    </row>
    <row r="887" spans="1:2" x14ac:dyDescent="0.25">
      <c r="A887" t="s">
        <v>20</v>
      </c>
      <c r="B887" t="s">
        <v>8</v>
      </c>
    </row>
    <row r="889" spans="1:2" x14ac:dyDescent="0.25">
      <c r="A889" t="s">
        <v>2</v>
      </c>
      <c r="B889" t="s">
        <v>14</v>
      </c>
    </row>
    <row r="892" spans="1:2" x14ac:dyDescent="0.25">
      <c r="A892" t="s">
        <v>49</v>
      </c>
    </row>
    <row r="894" spans="1:2" x14ac:dyDescent="0.25">
      <c r="A894" t="s">
        <v>2</v>
      </c>
      <c r="B894" t="s">
        <v>9</v>
      </c>
    </row>
    <row r="896" spans="1:2" x14ac:dyDescent="0.25">
      <c r="A896" t="s">
        <v>4</v>
      </c>
      <c r="B896" t="s">
        <v>21</v>
      </c>
    </row>
    <row r="898" spans="1:2" x14ac:dyDescent="0.25">
      <c r="A898" t="s">
        <v>2</v>
      </c>
      <c r="B898" t="s">
        <v>19</v>
      </c>
    </row>
    <row r="900" spans="1:2" x14ac:dyDescent="0.25">
      <c r="A900" t="s">
        <v>4</v>
      </c>
      <c r="B900" t="s">
        <v>1</v>
      </c>
    </row>
    <row r="902" spans="1:2" x14ac:dyDescent="0.25">
      <c r="A902" t="s">
        <v>4</v>
      </c>
      <c r="B902" t="s">
        <v>14</v>
      </c>
    </row>
    <row r="904" spans="1:2" x14ac:dyDescent="0.25">
      <c r="A904" t="s">
        <v>7</v>
      </c>
      <c r="B904" t="s">
        <v>8</v>
      </c>
    </row>
    <row r="906" spans="1:2" x14ac:dyDescent="0.25">
      <c r="A906" t="s">
        <v>4</v>
      </c>
      <c r="B906" t="s">
        <v>18</v>
      </c>
    </row>
    <row r="908" spans="1:2" x14ac:dyDescent="0.25">
      <c r="A908" t="s">
        <v>2</v>
      </c>
      <c r="B908" t="s">
        <v>11</v>
      </c>
    </row>
    <row r="910" spans="1:2" x14ac:dyDescent="0.25">
      <c r="A910" t="s">
        <v>20</v>
      </c>
      <c r="B910" t="s">
        <v>3</v>
      </c>
    </row>
    <row r="912" spans="1:2" x14ac:dyDescent="0.25">
      <c r="A912" t="s">
        <v>17</v>
      </c>
      <c r="B912" t="s">
        <v>5</v>
      </c>
    </row>
    <row r="914" spans="1:2" x14ac:dyDescent="0.25">
      <c r="A914" t="s">
        <v>4</v>
      </c>
      <c r="B914" t="s">
        <v>22</v>
      </c>
    </row>
    <row r="916" spans="1:2" x14ac:dyDescent="0.25">
      <c r="A916" t="s">
        <v>10</v>
      </c>
      <c r="B916" t="s">
        <v>13</v>
      </c>
    </row>
    <row r="918" spans="1:2" x14ac:dyDescent="0.25">
      <c r="A918" t="s">
        <v>12</v>
      </c>
      <c r="B918" t="s">
        <v>15</v>
      </c>
    </row>
    <row r="920" spans="1:2" x14ac:dyDescent="0.25">
      <c r="A920" t="s">
        <v>2</v>
      </c>
      <c r="B920" t="s">
        <v>6</v>
      </c>
    </row>
    <row r="922" spans="1:2" x14ac:dyDescent="0.25">
      <c r="A922" t="s">
        <v>2</v>
      </c>
      <c r="B922" t="s">
        <v>16</v>
      </c>
    </row>
    <row r="925" spans="1:2" x14ac:dyDescent="0.25">
      <c r="A925" t="s">
        <v>50</v>
      </c>
    </row>
    <row r="927" spans="1:2" x14ac:dyDescent="0.25">
      <c r="A927" t="s">
        <v>4</v>
      </c>
      <c r="B927" t="s">
        <v>19</v>
      </c>
    </row>
    <row r="929" spans="1:2" x14ac:dyDescent="0.25">
      <c r="A929" t="s">
        <v>17</v>
      </c>
      <c r="B929" t="s">
        <v>22</v>
      </c>
    </row>
    <row r="931" spans="1:2" x14ac:dyDescent="0.25">
      <c r="A931" t="s">
        <v>2</v>
      </c>
      <c r="B931" t="s">
        <v>3</v>
      </c>
    </row>
    <row r="933" spans="1:2" x14ac:dyDescent="0.25">
      <c r="A933" t="s">
        <v>4</v>
      </c>
      <c r="B933" t="s">
        <v>6</v>
      </c>
    </row>
    <row r="935" spans="1:2" x14ac:dyDescent="0.25">
      <c r="A935" t="s">
        <v>2</v>
      </c>
      <c r="B935" t="s">
        <v>8</v>
      </c>
    </row>
    <row r="937" spans="1:2" x14ac:dyDescent="0.25">
      <c r="A937" t="s">
        <v>7</v>
      </c>
      <c r="B937" t="s">
        <v>1</v>
      </c>
    </row>
    <row r="939" spans="1:2" x14ac:dyDescent="0.25">
      <c r="A939" t="s">
        <v>10</v>
      </c>
      <c r="B939" t="s">
        <v>18</v>
      </c>
    </row>
    <row r="941" spans="1:2" x14ac:dyDescent="0.25">
      <c r="A941" t="s">
        <v>4</v>
      </c>
      <c r="B941" t="s">
        <v>9</v>
      </c>
    </row>
    <row r="943" spans="1:2" x14ac:dyDescent="0.25">
      <c r="A943" t="s">
        <v>2</v>
      </c>
      <c r="B943" t="s">
        <v>5</v>
      </c>
    </row>
    <row r="945" spans="1:2" x14ac:dyDescent="0.25">
      <c r="A945" t="s">
        <v>2</v>
      </c>
      <c r="B945" t="s">
        <v>15</v>
      </c>
    </row>
    <row r="947" spans="1:2" x14ac:dyDescent="0.25">
      <c r="A947" t="s">
        <v>4</v>
      </c>
      <c r="B947" t="s">
        <v>11</v>
      </c>
    </row>
    <row r="949" spans="1:2" x14ac:dyDescent="0.25">
      <c r="A949" t="s">
        <v>12</v>
      </c>
      <c r="B949" t="s">
        <v>21</v>
      </c>
    </row>
    <row r="951" spans="1:2" x14ac:dyDescent="0.25">
      <c r="A951" t="s">
        <v>4</v>
      </c>
      <c r="B951" t="s">
        <v>16</v>
      </c>
    </row>
    <row r="953" spans="1:2" x14ac:dyDescent="0.25">
      <c r="A953" t="s">
        <v>20</v>
      </c>
      <c r="B953" t="s">
        <v>14</v>
      </c>
    </row>
    <row r="955" spans="1:2" x14ac:dyDescent="0.25">
      <c r="A955" t="s">
        <v>2</v>
      </c>
      <c r="B955" t="s">
        <v>13</v>
      </c>
    </row>
    <row r="958" spans="1:2" x14ac:dyDescent="0.25">
      <c r="A958" t="s">
        <v>51</v>
      </c>
    </row>
    <row r="960" spans="1:2" x14ac:dyDescent="0.25">
      <c r="A960" t="s">
        <v>2</v>
      </c>
      <c r="B960" t="s">
        <v>8</v>
      </c>
    </row>
    <row r="962" spans="1:2" x14ac:dyDescent="0.25">
      <c r="A962" t="s">
        <v>20</v>
      </c>
      <c r="B962" t="s">
        <v>16</v>
      </c>
    </row>
    <row r="964" spans="1:2" x14ac:dyDescent="0.25">
      <c r="A964" t="s">
        <v>2</v>
      </c>
      <c r="B964" t="s">
        <v>13</v>
      </c>
    </row>
    <row r="966" spans="1:2" x14ac:dyDescent="0.25">
      <c r="A966" t="s">
        <v>2</v>
      </c>
      <c r="B966" t="s">
        <v>15</v>
      </c>
    </row>
    <row r="968" spans="1:2" x14ac:dyDescent="0.25">
      <c r="A968" t="s">
        <v>10</v>
      </c>
      <c r="B968" t="s">
        <v>19</v>
      </c>
    </row>
    <row r="970" spans="1:2" x14ac:dyDescent="0.25">
      <c r="A970" t="s">
        <v>2</v>
      </c>
      <c r="B970" t="s">
        <v>3</v>
      </c>
    </row>
    <row r="972" spans="1:2" x14ac:dyDescent="0.25">
      <c r="A972" t="s">
        <v>2</v>
      </c>
      <c r="B972" t="s">
        <v>5</v>
      </c>
    </row>
    <row r="974" spans="1:2" x14ac:dyDescent="0.25">
      <c r="A974" t="s">
        <v>4</v>
      </c>
      <c r="B974" t="s">
        <v>1</v>
      </c>
    </row>
    <row r="976" spans="1:2" x14ac:dyDescent="0.25">
      <c r="A976" t="s">
        <v>4</v>
      </c>
      <c r="B976" t="s">
        <v>21</v>
      </c>
    </row>
    <row r="978" spans="1:2" x14ac:dyDescent="0.25">
      <c r="A978" t="s">
        <v>17</v>
      </c>
      <c r="B978" t="s">
        <v>6</v>
      </c>
    </row>
    <row r="980" spans="1:2" x14ac:dyDescent="0.25">
      <c r="A980" t="s">
        <v>4</v>
      </c>
      <c r="B980" t="s">
        <v>22</v>
      </c>
    </row>
    <row r="982" spans="1:2" x14ac:dyDescent="0.25">
      <c r="A982" t="s">
        <v>7</v>
      </c>
      <c r="B982" t="s">
        <v>9</v>
      </c>
    </row>
    <row r="984" spans="1:2" x14ac:dyDescent="0.25">
      <c r="A984" t="s">
        <v>12</v>
      </c>
      <c r="B984" t="s">
        <v>11</v>
      </c>
    </row>
    <row r="986" spans="1:2" x14ac:dyDescent="0.25">
      <c r="A986" t="s">
        <v>4</v>
      </c>
      <c r="B986" t="s">
        <v>18</v>
      </c>
    </row>
    <row r="988" spans="1:2" x14ac:dyDescent="0.25">
      <c r="A988" t="s">
        <v>4</v>
      </c>
      <c r="B988" t="s">
        <v>14</v>
      </c>
    </row>
    <row r="991" spans="1:2" x14ac:dyDescent="0.25">
      <c r="A991" t="s">
        <v>52</v>
      </c>
    </row>
    <row r="993" spans="1:2" x14ac:dyDescent="0.25">
      <c r="A993" t="s">
        <v>4</v>
      </c>
      <c r="B993" t="s">
        <v>8</v>
      </c>
    </row>
    <row r="995" spans="1:2" x14ac:dyDescent="0.25">
      <c r="A995" t="s">
        <v>10</v>
      </c>
      <c r="B995" t="s">
        <v>11</v>
      </c>
    </row>
    <row r="997" spans="1:2" x14ac:dyDescent="0.25">
      <c r="A997" t="s">
        <v>2</v>
      </c>
      <c r="B997" t="s">
        <v>22</v>
      </c>
    </row>
    <row r="999" spans="1:2" x14ac:dyDescent="0.25">
      <c r="A999" t="s">
        <v>20</v>
      </c>
      <c r="B999" t="s">
        <v>16</v>
      </c>
    </row>
    <row r="1001" spans="1:2" x14ac:dyDescent="0.25">
      <c r="A1001" t="s">
        <v>2</v>
      </c>
      <c r="B1001" t="s">
        <v>21</v>
      </c>
    </row>
    <row r="1003" spans="1:2" x14ac:dyDescent="0.25">
      <c r="A1003" t="s">
        <v>4</v>
      </c>
      <c r="B1003" t="s">
        <v>15</v>
      </c>
    </row>
    <row r="1005" spans="1:2" x14ac:dyDescent="0.25">
      <c r="A1005" t="s">
        <v>4</v>
      </c>
      <c r="B1005" t="s">
        <v>3</v>
      </c>
    </row>
    <row r="1007" spans="1:2" x14ac:dyDescent="0.25">
      <c r="A1007" t="s">
        <v>17</v>
      </c>
      <c r="B1007" t="s">
        <v>19</v>
      </c>
    </row>
    <row r="1009" spans="1:2" x14ac:dyDescent="0.25">
      <c r="A1009" t="s">
        <v>12</v>
      </c>
      <c r="B1009" t="s">
        <v>9</v>
      </c>
    </row>
    <row r="1011" spans="1:2" x14ac:dyDescent="0.25">
      <c r="A1011" t="s">
        <v>7</v>
      </c>
      <c r="B1011" t="s">
        <v>6</v>
      </c>
    </row>
    <row r="1013" spans="1:2" x14ac:dyDescent="0.25">
      <c r="A1013" t="s">
        <v>4</v>
      </c>
      <c r="B1013" t="s">
        <v>13</v>
      </c>
    </row>
    <row r="1015" spans="1:2" x14ac:dyDescent="0.25">
      <c r="A1015" t="s">
        <v>2</v>
      </c>
      <c r="B1015" t="s">
        <v>18</v>
      </c>
    </row>
    <row r="1017" spans="1:2" x14ac:dyDescent="0.25">
      <c r="A1017" t="s">
        <v>2</v>
      </c>
      <c r="B1017" t="s">
        <v>14</v>
      </c>
    </row>
    <row r="1019" spans="1:2" x14ac:dyDescent="0.25">
      <c r="A1019" t="s">
        <v>2</v>
      </c>
      <c r="B1019" t="s">
        <v>1</v>
      </c>
    </row>
    <row r="1021" spans="1:2" x14ac:dyDescent="0.25">
      <c r="A1021" t="s">
        <v>4</v>
      </c>
      <c r="B1021" t="s">
        <v>5</v>
      </c>
    </row>
    <row r="1024" spans="1:2" x14ac:dyDescent="0.25">
      <c r="A1024" t="s">
        <v>53</v>
      </c>
    </row>
    <row r="1026" spans="1:2" x14ac:dyDescent="0.25">
      <c r="A1026" t="s">
        <v>10</v>
      </c>
      <c r="B1026" t="s">
        <v>18</v>
      </c>
    </row>
    <row r="1028" spans="1:2" x14ac:dyDescent="0.25">
      <c r="A1028" t="s">
        <v>2</v>
      </c>
      <c r="B1028" t="s">
        <v>19</v>
      </c>
    </row>
    <row r="1030" spans="1:2" x14ac:dyDescent="0.25">
      <c r="A1030" t="s">
        <v>20</v>
      </c>
      <c r="B1030" t="s">
        <v>22</v>
      </c>
    </row>
    <row r="1032" spans="1:2" x14ac:dyDescent="0.25">
      <c r="A1032" t="s">
        <v>2</v>
      </c>
      <c r="B1032" t="s">
        <v>9</v>
      </c>
    </row>
    <row r="1034" spans="1:2" x14ac:dyDescent="0.25">
      <c r="A1034" t="s">
        <v>17</v>
      </c>
      <c r="B1034" t="s">
        <v>1</v>
      </c>
    </row>
    <row r="1036" spans="1:2" x14ac:dyDescent="0.25">
      <c r="A1036" t="s">
        <v>4</v>
      </c>
      <c r="B1036" t="s">
        <v>3</v>
      </c>
    </row>
    <row r="1038" spans="1:2" x14ac:dyDescent="0.25">
      <c r="A1038" t="s">
        <v>4</v>
      </c>
      <c r="B1038" t="s">
        <v>13</v>
      </c>
    </row>
    <row r="1040" spans="1:2" x14ac:dyDescent="0.25">
      <c r="A1040" t="s">
        <v>2</v>
      </c>
      <c r="B1040" t="s">
        <v>16</v>
      </c>
    </row>
    <row r="1042" spans="1:2" x14ac:dyDescent="0.25">
      <c r="A1042" t="s">
        <v>4</v>
      </c>
      <c r="B1042" t="s">
        <v>8</v>
      </c>
    </row>
    <row r="1044" spans="1:2" x14ac:dyDescent="0.25">
      <c r="A1044" t="s">
        <v>7</v>
      </c>
      <c r="B1044" t="s">
        <v>14</v>
      </c>
    </row>
    <row r="1046" spans="1:2" x14ac:dyDescent="0.25">
      <c r="A1046" t="s">
        <v>4</v>
      </c>
      <c r="B1046" t="s">
        <v>5</v>
      </c>
    </row>
    <row r="1048" spans="1:2" x14ac:dyDescent="0.25">
      <c r="A1048" t="s">
        <v>12</v>
      </c>
      <c r="B1048" t="s">
        <v>21</v>
      </c>
    </row>
    <row r="1050" spans="1:2" x14ac:dyDescent="0.25">
      <c r="A1050" t="s">
        <v>2</v>
      </c>
      <c r="B1050" t="s">
        <v>6</v>
      </c>
    </row>
    <row r="1052" spans="1:2" x14ac:dyDescent="0.25">
      <c r="A1052" t="s">
        <v>2</v>
      </c>
      <c r="B1052" t="s">
        <v>11</v>
      </c>
    </row>
    <row r="1054" spans="1:2" x14ac:dyDescent="0.25">
      <c r="A1054" t="s">
        <v>4</v>
      </c>
      <c r="B1054" t="s">
        <v>15</v>
      </c>
    </row>
    <row r="1057" spans="1:2" x14ac:dyDescent="0.25">
      <c r="A1057" t="s">
        <v>54</v>
      </c>
    </row>
    <row r="1059" spans="1:2" x14ac:dyDescent="0.25">
      <c r="A1059" t="s">
        <v>12</v>
      </c>
      <c r="B1059" t="s">
        <v>8</v>
      </c>
    </row>
    <row r="1061" spans="1:2" x14ac:dyDescent="0.25">
      <c r="A1061" t="s">
        <v>10</v>
      </c>
      <c r="B1061" t="s">
        <v>5</v>
      </c>
    </row>
    <row r="1063" spans="1:2" x14ac:dyDescent="0.25">
      <c r="A1063" t="s">
        <v>4</v>
      </c>
      <c r="B1063" t="s">
        <v>6</v>
      </c>
    </row>
    <row r="1065" spans="1:2" x14ac:dyDescent="0.25">
      <c r="A1065" t="s">
        <v>17</v>
      </c>
      <c r="B1065" t="s">
        <v>3</v>
      </c>
    </row>
    <row r="1067" spans="1:2" x14ac:dyDescent="0.25">
      <c r="A1067" t="s">
        <v>2</v>
      </c>
      <c r="B1067" t="s">
        <v>21</v>
      </c>
    </row>
    <row r="1069" spans="1:2" x14ac:dyDescent="0.25">
      <c r="A1069" t="s">
        <v>4</v>
      </c>
      <c r="B1069" t="s">
        <v>19</v>
      </c>
    </row>
    <row r="1071" spans="1:2" x14ac:dyDescent="0.25">
      <c r="A1071" t="s">
        <v>20</v>
      </c>
      <c r="B1071" t="s">
        <v>15</v>
      </c>
    </row>
    <row r="1073" spans="1:2" x14ac:dyDescent="0.25">
      <c r="A1073" t="s">
        <v>4</v>
      </c>
      <c r="B1073" t="s">
        <v>11</v>
      </c>
    </row>
    <row r="1075" spans="1:2" x14ac:dyDescent="0.25">
      <c r="A1075" t="s">
        <v>4</v>
      </c>
      <c r="B1075" t="s">
        <v>9</v>
      </c>
    </row>
    <row r="1077" spans="1:2" x14ac:dyDescent="0.25">
      <c r="A1077" t="s">
        <v>7</v>
      </c>
      <c r="B1077" t="s">
        <v>13</v>
      </c>
    </row>
    <row r="1079" spans="1:2" x14ac:dyDescent="0.25">
      <c r="A1079" t="s">
        <v>2</v>
      </c>
      <c r="B1079" t="s">
        <v>1</v>
      </c>
    </row>
    <row r="1081" spans="1:2" x14ac:dyDescent="0.25">
      <c r="A1081" t="s">
        <v>2</v>
      </c>
      <c r="B1081" t="s">
        <v>18</v>
      </c>
    </row>
    <row r="1083" spans="1:2" x14ac:dyDescent="0.25">
      <c r="A1083" t="s">
        <v>2</v>
      </c>
      <c r="B1083" t="s">
        <v>22</v>
      </c>
    </row>
    <row r="1085" spans="1:2" x14ac:dyDescent="0.25">
      <c r="A1085" t="s">
        <v>2</v>
      </c>
      <c r="B1085" t="s">
        <v>14</v>
      </c>
    </row>
    <row r="1087" spans="1:2" x14ac:dyDescent="0.25">
      <c r="A1087" t="s">
        <v>4</v>
      </c>
      <c r="B1087" t="s">
        <v>16</v>
      </c>
    </row>
    <row r="1090" spans="1:2" x14ac:dyDescent="0.25">
      <c r="A1090" t="s">
        <v>55</v>
      </c>
    </row>
    <row r="1092" spans="1:2" x14ac:dyDescent="0.25">
      <c r="A1092" t="s">
        <v>2</v>
      </c>
      <c r="B1092" t="s">
        <v>19</v>
      </c>
    </row>
    <row r="1094" spans="1:2" x14ac:dyDescent="0.25">
      <c r="A1094" t="s">
        <v>4</v>
      </c>
      <c r="B1094" t="s">
        <v>18</v>
      </c>
    </row>
    <row r="1096" spans="1:2" x14ac:dyDescent="0.25">
      <c r="A1096" t="s">
        <v>2</v>
      </c>
      <c r="B1096" t="s">
        <v>6</v>
      </c>
    </row>
    <row r="1098" spans="1:2" x14ac:dyDescent="0.25">
      <c r="A1098" t="s">
        <v>17</v>
      </c>
      <c r="B1098" t="s">
        <v>5</v>
      </c>
    </row>
    <row r="1100" spans="1:2" x14ac:dyDescent="0.25">
      <c r="A1100" t="s">
        <v>2</v>
      </c>
      <c r="B1100" t="s">
        <v>16</v>
      </c>
    </row>
    <row r="1102" spans="1:2" x14ac:dyDescent="0.25">
      <c r="A1102" t="s">
        <v>4</v>
      </c>
      <c r="B1102" t="s">
        <v>14</v>
      </c>
    </row>
    <row r="1104" spans="1:2" x14ac:dyDescent="0.25">
      <c r="A1104" t="s">
        <v>2</v>
      </c>
      <c r="B1104" t="s">
        <v>11</v>
      </c>
    </row>
    <row r="1106" spans="1:2" x14ac:dyDescent="0.25">
      <c r="A1106" t="s">
        <v>4</v>
      </c>
      <c r="B1106" t="s">
        <v>21</v>
      </c>
    </row>
    <row r="1108" spans="1:2" x14ac:dyDescent="0.25">
      <c r="A1108" t="s">
        <v>10</v>
      </c>
      <c r="B1108" t="s">
        <v>3</v>
      </c>
    </row>
    <row r="1110" spans="1:2" x14ac:dyDescent="0.25">
      <c r="A1110" t="s">
        <v>20</v>
      </c>
      <c r="B1110" t="s">
        <v>13</v>
      </c>
    </row>
    <row r="1112" spans="1:2" x14ac:dyDescent="0.25">
      <c r="A1112" t="s">
        <v>2</v>
      </c>
      <c r="B1112" t="s">
        <v>9</v>
      </c>
    </row>
    <row r="1114" spans="1:2" x14ac:dyDescent="0.25">
      <c r="A1114" t="s">
        <v>7</v>
      </c>
      <c r="B1114" t="s">
        <v>15</v>
      </c>
    </row>
    <row r="1116" spans="1:2" x14ac:dyDescent="0.25">
      <c r="A1116" t="s">
        <v>4</v>
      </c>
      <c r="B1116" t="s">
        <v>22</v>
      </c>
    </row>
    <row r="1118" spans="1:2" x14ac:dyDescent="0.25">
      <c r="A1118" t="s">
        <v>12</v>
      </c>
      <c r="B1118" t="s">
        <v>8</v>
      </c>
    </row>
    <row r="1120" spans="1:2" x14ac:dyDescent="0.25">
      <c r="A1120" t="s">
        <v>4</v>
      </c>
      <c r="B1120" t="s">
        <v>1</v>
      </c>
    </row>
    <row r="1123" spans="1:2" x14ac:dyDescent="0.25">
      <c r="A1123" t="s">
        <v>56</v>
      </c>
    </row>
    <row r="1125" spans="1:2" x14ac:dyDescent="0.25">
      <c r="A1125" t="s">
        <v>20</v>
      </c>
      <c r="B1125" t="s">
        <v>13</v>
      </c>
    </row>
    <row r="1127" spans="1:2" x14ac:dyDescent="0.25">
      <c r="A1127" t="s">
        <v>4</v>
      </c>
      <c r="B1127" t="s">
        <v>14</v>
      </c>
    </row>
    <row r="1129" spans="1:2" x14ac:dyDescent="0.25">
      <c r="A1129" t="s">
        <v>4</v>
      </c>
      <c r="B1129" t="s">
        <v>22</v>
      </c>
    </row>
    <row r="1131" spans="1:2" x14ac:dyDescent="0.25">
      <c r="A1131" t="s">
        <v>4</v>
      </c>
      <c r="B1131" t="s">
        <v>1</v>
      </c>
    </row>
    <row r="1133" spans="1:2" x14ac:dyDescent="0.25">
      <c r="A1133" t="s">
        <v>2</v>
      </c>
      <c r="B1133" t="s">
        <v>9</v>
      </c>
    </row>
    <row r="1135" spans="1:2" x14ac:dyDescent="0.25">
      <c r="A1135" t="s">
        <v>12</v>
      </c>
      <c r="B1135" t="s">
        <v>8</v>
      </c>
    </row>
    <row r="1137" spans="1:2" x14ac:dyDescent="0.25">
      <c r="A1137" t="s">
        <v>2</v>
      </c>
      <c r="B1137" t="s">
        <v>6</v>
      </c>
    </row>
    <row r="1139" spans="1:2" x14ac:dyDescent="0.25">
      <c r="A1139" t="s">
        <v>4</v>
      </c>
      <c r="B1139" t="s">
        <v>21</v>
      </c>
    </row>
    <row r="1141" spans="1:2" x14ac:dyDescent="0.25">
      <c r="A1141" t="s">
        <v>2</v>
      </c>
      <c r="B1141" t="s">
        <v>11</v>
      </c>
    </row>
    <row r="1143" spans="1:2" x14ac:dyDescent="0.25">
      <c r="A1143" t="s">
        <v>17</v>
      </c>
      <c r="B1143" t="s">
        <v>5</v>
      </c>
    </row>
    <row r="1145" spans="1:2" x14ac:dyDescent="0.25">
      <c r="A1145" t="s">
        <v>2</v>
      </c>
      <c r="B1145" t="s">
        <v>19</v>
      </c>
    </row>
    <row r="1147" spans="1:2" x14ac:dyDescent="0.25">
      <c r="A1147" t="s">
        <v>2</v>
      </c>
      <c r="B1147" t="s">
        <v>16</v>
      </c>
    </row>
    <row r="1149" spans="1:2" x14ac:dyDescent="0.25">
      <c r="A1149" t="s">
        <v>7</v>
      </c>
      <c r="B1149" t="s">
        <v>3</v>
      </c>
    </row>
    <row r="1151" spans="1:2" x14ac:dyDescent="0.25">
      <c r="A1151" t="s">
        <v>10</v>
      </c>
      <c r="B1151" t="s">
        <v>15</v>
      </c>
    </row>
    <row r="1153" spans="1:2" x14ac:dyDescent="0.25">
      <c r="A1153" t="s">
        <v>4</v>
      </c>
      <c r="B1153" t="s">
        <v>18</v>
      </c>
    </row>
    <row r="1156" spans="1:2" x14ac:dyDescent="0.25">
      <c r="A1156" t="s">
        <v>57</v>
      </c>
    </row>
    <row r="1158" spans="1:2" x14ac:dyDescent="0.25">
      <c r="A1158" t="s">
        <v>2</v>
      </c>
      <c r="B1158" t="s">
        <v>5</v>
      </c>
    </row>
    <row r="1160" spans="1:2" x14ac:dyDescent="0.25">
      <c r="A1160" t="s">
        <v>4</v>
      </c>
      <c r="B1160" t="s">
        <v>16</v>
      </c>
    </row>
    <row r="1162" spans="1:2" x14ac:dyDescent="0.25">
      <c r="A1162" t="s">
        <v>4</v>
      </c>
      <c r="B1162" t="s">
        <v>9</v>
      </c>
    </row>
    <row r="1164" spans="1:2" x14ac:dyDescent="0.25">
      <c r="A1164" t="s">
        <v>2</v>
      </c>
      <c r="B1164" t="s">
        <v>13</v>
      </c>
    </row>
    <row r="1166" spans="1:2" x14ac:dyDescent="0.25">
      <c r="A1166" t="s">
        <v>20</v>
      </c>
      <c r="B1166" t="s">
        <v>1</v>
      </c>
    </row>
    <row r="1168" spans="1:2" x14ac:dyDescent="0.25">
      <c r="A1168" t="s">
        <v>2</v>
      </c>
      <c r="B1168" t="s">
        <v>3</v>
      </c>
    </row>
    <row r="1170" spans="1:2" x14ac:dyDescent="0.25">
      <c r="A1170" t="s">
        <v>4</v>
      </c>
      <c r="B1170" t="s">
        <v>11</v>
      </c>
    </row>
    <row r="1172" spans="1:2" x14ac:dyDescent="0.25">
      <c r="A1172" t="s">
        <v>7</v>
      </c>
      <c r="B1172" t="s">
        <v>22</v>
      </c>
    </row>
    <row r="1174" spans="1:2" x14ac:dyDescent="0.25">
      <c r="A1174" t="s">
        <v>10</v>
      </c>
      <c r="B1174" t="s">
        <v>18</v>
      </c>
    </row>
    <row r="1176" spans="1:2" x14ac:dyDescent="0.25">
      <c r="A1176" t="s">
        <v>2</v>
      </c>
      <c r="B1176" t="s">
        <v>15</v>
      </c>
    </row>
    <row r="1178" spans="1:2" x14ac:dyDescent="0.25">
      <c r="A1178" t="s">
        <v>17</v>
      </c>
      <c r="B1178" t="s">
        <v>14</v>
      </c>
    </row>
    <row r="1180" spans="1:2" x14ac:dyDescent="0.25">
      <c r="A1180" t="s">
        <v>4</v>
      </c>
      <c r="B1180" t="s">
        <v>19</v>
      </c>
    </row>
    <row r="1182" spans="1:2" x14ac:dyDescent="0.25">
      <c r="A1182" t="s">
        <v>4</v>
      </c>
      <c r="B1182" t="s">
        <v>6</v>
      </c>
    </row>
    <row r="1184" spans="1:2" x14ac:dyDescent="0.25">
      <c r="A1184" t="s">
        <v>2</v>
      </c>
      <c r="B1184" t="s">
        <v>8</v>
      </c>
    </row>
    <row r="1186" spans="1:2" x14ac:dyDescent="0.25">
      <c r="A1186" t="s">
        <v>12</v>
      </c>
      <c r="B1186" t="s">
        <v>21</v>
      </c>
    </row>
    <row r="1189" spans="1:2" x14ac:dyDescent="0.25">
      <c r="A1189" t="s">
        <v>58</v>
      </c>
    </row>
    <row r="1191" spans="1:2" x14ac:dyDescent="0.25">
      <c r="A1191" t="s">
        <v>17</v>
      </c>
      <c r="B1191" t="s">
        <v>6</v>
      </c>
    </row>
    <row r="1193" spans="1:2" x14ac:dyDescent="0.25">
      <c r="A1193" t="s">
        <v>4</v>
      </c>
      <c r="B1193" t="s">
        <v>18</v>
      </c>
    </row>
    <row r="1195" spans="1:2" x14ac:dyDescent="0.25">
      <c r="A1195" t="s">
        <v>2</v>
      </c>
      <c r="B1195" t="s">
        <v>8</v>
      </c>
    </row>
    <row r="1197" spans="1:2" x14ac:dyDescent="0.25">
      <c r="A1197" t="s">
        <v>7</v>
      </c>
      <c r="B1197" t="s">
        <v>11</v>
      </c>
    </row>
    <row r="1199" spans="1:2" x14ac:dyDescent="0.25">
      <c r="A1199" t="s">
        <v>10</v>
      </c>
      <c r="B1199" t="s">
        <v>19</v>
      </c>
    </row>
    <row r="1201" spans="1:2" x14ac:dyDescent="0.25">
      <c r="A1201" t="s">
        <v>2</v>
      </c>
      <c r="B1201" t="s">
        <v>3</v>
      </c>
    </row>
    <row r="1203" spans="1:2" x14ac:dyDescent="0.25">
      <c r="A1203" t="s">
        <v>2</v>
      </c>
      <c r="B1203" t="s">
        <v>15</v>
      </c>
    </row>
    <row r="1205" spans="1:2" x14ac:dyDescent="0.25">
      <c r="A1205" t="s">
        <v>20</v>
      </c>
      <c r="B1205" t="s">
        <v>16</v>
      </c>
    </row>
    <row r="1207" spans="1:2" x14ac:dyDescent="0.25">
      <c r="A1207" t="s">
        <v>4</v>
      </c>
      <c r="B1207" t="s">
        <v>22</v>
      </c>
    </row>
    <row r="1209" spans="1:2" x14ac:dyDescent="0.25">
      <c r="A1209" t="s">
        <v>2</v>
      </c>
      <c r="B1209" t="s">
        <v>13</v>
      </c>
    </row>
    <row r="1211" spans="1:2" x14ac:dyDescent="0.25">
      <c r="A1211" t="s">
        <v>2</v>
      </c>
      <c r="B1211" t="s">
        <v>5</v>
      </c>
    </row>
    <row r="1213" spans="1:2" x14ac:dyDescent="0.25">
      <c r="A1213" t="s">
        <v>12</v>
      </c>
      <c r="B1213" t="s">
        <v>9</v>
      </c>
    </row>
    <row r="1215" spans="1:2" x14ac:dyDescent="0.25">
      <c r="A1215" t="s">
        <v>4</v>
      </c>
      <c r="B1215" t="s">
        <v>14</v>
      </c>
    </row>
    <row r="1217" spans="1:2" x14ac:dyDescent="0.25">
      <c r="A1217" t="s">
        <v>4</v>
      </c>
      <c r="B1217" t="s">
        <v>21</v>
      </c>
    </row>
    <row r="1219" spans="1:2" x14ac:dyDescent="0.25">
      <c r="A1219" t="s">
        <v>4</v>
      </c>
      <c r="B1219" t="s">
        <v>1</v>
      </c>
    </row>
    <row r="1222" spans="1:2" x14ac:dyDescent="0.25">
      <c r="A1222" t="s">
        <v>59</v>
      </c>
    </row>
    <row r="1224" spans="1:2" x14ac:dyDescent="0.25">
      <c r="A1224" t="s">
        <v>4</v>
      </c>
      <c r="B1224" t="s">
        <v>15</v>
      </c>
    </row>
    <row r="1226" spans="1:2" x14ac:dyDescent="0.25">
      <c r="A1226" t="s">
        <v>20</v>
      </c>
      <c r="B1226" t="s">
        <v>9</v>
      </c>
    </row>
    <row r="1228" spans="1:2" x14ac:dyDescent="0.25">
      <c r="A1228" t="s">
        <v>4</v>
      </c>
      <c r="B1228" t="s">
        <v>3</v>
      </c>
    </row>
    <row r="1230" spans="1:2" x14ac:dyDescent="0.25">
      <c r="A1230" t="s">
        <v>2</v>
      </c>
      <c r="B1230" t="s">
        <v>14</v>
      </c>
    </row>
    <row r="1232" spans="1:2" x14ac:dyDescent="0.25">
      <c r="A1232" t="s">
        <v>2</v>
      </c>
      <c r="B1232" t="s">
        <v>1</v>
      </c>
    </row>
    <row r="1234" spans="1:2" x14ac:dyDescent="0.25">
      <c r="A1234" t="s">
        <v>2</v>
      </c>
      <c r="B1234" t="s">
        <v>22</v>
      </c>
    </row>
    <row r="1236" spans="1:2" x14ac:dyDescent="0.25">
      <c r="A1236" t="s">
        <v>2</v>
      </c>
      <c r="B1236" t="s">
        <v>18</v>
      </c>
    </row>
    <row r="1238" spans="1:2" x14ac:dyDescent="0.25">
      <c r="A1238" t="s">
        <v>7</v>
      </c>
      <c r="B1238" t="s">
        <v>19</v>
      </c>
    </row>
    <row r="1240" spans="1:2" x14ac:dyDescent="0.25">
      <c r="A1240" t="s">
        <v>12</v>
      </c>
      <c r="B1240" t="s">
        <v>11</v>
      </c>
    </row>
    <row r="1242" spans="1:2" x14ac:dyDescent="0.25">
      <c r="A1242" t="s">
        <v>10</v>
      </c>
      <c r="B1242" t="s">
        <v>16</v>
      </c>
    </row>
    <row r="1244" spans="1:2" x14ac:dyDescent="0.25">
      <c r="A1244" t="s">
        <v>4</v>
      </c>
      <c r="B1244" t="s">
        <v>5</v>
      </c>
    </row>
    <row r="1246" spans="1:2" x14ac:dyDescent="0.25">
      <c r="A1246" t="s">
        <v>17</v>
      </c>
      <c r="B1246" t="s">
        <v>6</v>
      </c>
    </row>
    <row r="1248" spans="1:2" x14ac:dyDescent="0.25">
      <c r="A1248" t="s">
        <v>4</v>
      </c>
      <c r="B1248" t="s">
        <v>13</v>
      </c>
    </row>
    <row r="1250" spans="1:2" x14ac:dyDescent="0.25">
      <c r="A1250" t="s">
        <v>4</v>
      </c>
      <c r="B1250" t="s">
        <v>8</v>
      </c>
    </row>
    <row r="1252" spans="1:2" x14ac:dyDescent="0.25">
      <c r="A1252" t="s">
        <v>2</v>
      </c>
      <c r="B1252" t="s">
        <v>21</v>
      </c>
    </row>
    <row r="1255" spans="1:2" x14ac:dyDescent="0.25">
      <c r="A1255" t="s">
        <v>60</v>
      </c>
    </row>
    <row r="1257" spans="1:2" x14ac:dyDescent="0.25">
      <c r="A1257" t="s">
        <v>10</v>
      </c>
      <c r="B1257" t="s">
        <v>1</v>
      </c>
    </row>
    <row r="1259" spans="1:2" x14ac:dyDescent="0.25">
      <c r="A1259" t="s">
        <v>12</v>
      </c>
      <c r="B1259" t="s">
        <v>21</v>
      </c>
    </row>
    <row r="1261" spans="1:2" x14ac:dyDescent="0.25">
      <c r="A1261" t="s">
        <v>4</v>
      </c>
      <c r="B1261" t="s">
        <v>8</v>
      </c>
    </row>
    <row r="1263" spans="1:2" x14ac:dyDescent="0.25">
      <c r="A1263" t="s">
        <v>4</v>
      </c>
      <c r="B1263" t="s">
        <v>3</v>
      </c>
    </row>
    <row r="1265" spans="1:2" x14ac:dyDescent="0.25">
      <c r="A1265" t="s">
        <v>2</v>
      </c>
      <c r="B1265" t="s">
        <v>16</v>
      </c>
    </row>
    <row r="1267" spans="1:2" x14ac:dyDescent="0.25">
      <c r="A1267" t="s">
        <v>2</v>
      </c>
      <c r="B1267" t="s">
        <v>9</v>
      </c>
    </row>
    <row r="1269" spans="1:2" x14ac:dyDescent="0.25">
      <c r="A1269" t="s">
        <v>20</v>
      </c>
      <c r="B1269" t="s">
        <v>14</v>
      </c>
    </row>
    <row r="1271" spans="1:2" x14ac:dyDescent="0.25">
      <c r="A1271" t="s">
        <v>2</v>
      </c>
      <c r="B1271" t="s">
        <v>11</v>
      </c>
    </row>
    <row r="1273" spans="1:2" x14ac:dyDescent="0.25">
      <c r="A1273" t="s">
        <v>7</v>
      </c>
      <c r="B1273" t="s">
        <v>18</v>
      </c>
    </row>
    <row r="1275" spans="1:2" x14ac:dyDescent="0.25">
      <c r="A1275" t="s">
        <v>2</v>
      </c>
      <c r="B1275" t="s">
        <v>6</v>
      </c>
    </row>
    <row r="1277" spans="1:2" x14ac:dyDescent="0.25">
      <c r="A1277" t="s">
        <v>4</v>
      </c>
      <c r="B1277" t="s">
        <v>5</v>
      </c>
    </row>
    <row r="1279" spans="1:2" x14ac:dyDescent="0.25">
      <c r="A1279" t="s">
        <v>17</v>
      </c>
      <c r="B1279" t="s">
        <v>22</v>
      </c>
    </row>
    <row r="1281" spans="1:2" x14ac:dyDescent="0.25">
      <c r="A1281" t="s">
        <v>4</v>
      </c>
      <c r="B1281" t="s">
        <v>13</v>
      </c>
    </row>
    <row r="1283" spans="1:2" x14ac:dyDescent="0.25">
      <c r="A1283" t="s">
        <v>4</v>
      </c>
      <c r="B1283" t="s">
        <v>15</v>
      </c>
    </row>
    <row r="1285" spans="1:2" x14ac:dyDescent="0.25">
      <c r="A1285" t="s">
        <v>2</v>
      </c>
      <c r="B1285" t="s">
        <v>19</v>
      </c>
    </row>
    <row r="1288" spans="1:2" x14ac:dyDescent="0.25">
      <c r="A1288" t="s">
        <v>61</v>
      </c>
    </row>
    <row r="1290" spans="1:2" x14ac:dyDescent="0.25">
      <c r="A1290" t="s">
        <v>20</v>
      </c>
      <c r="B1290" t="s">
        <v>3</v>
      </c>
    </row>
    <row r="1292" spans="1:2" x14ac:dyDescent="0.25">
      <c r="A1292" t="s">
        <v>4</v>
      </c>
      <c r="B1292" t="s">
        <v>9</v>
      </c>
    </row>
    <row r="1294" spans="1:2" x14ac:dyDescent="0.25">
      <c r="A1294" t="s">
        <v>4</v>
      </c>
      <c r="B1294" t="s">
        <v>6</v>
      </c>
    </row>
    <row r="1296" spans="1:2" x14ac:dyDescent="0.25">
      <c r="A1296" t="s">
        <v>2</v>
      </c>
      <c r="B1296" t="s">
        <v>21</v>
      </c>
    </row>
    <row r="1298" spans="1:2" x14ac:dyDescent="0.25">
      <c r="A1298" t="s">
        <v>2</v>
      </c>
      <c r="B1298" t="s">
        <v>18</v>
      </c>
    </row>
    <row r="1300" spans="1:2" x14ac:dyDescent="0.25">
      <c r="A1300" t="s">
        <v>17</v>
      </c>
      <c r="B1300" t="s">
        <v>13</v>
      </c>
    </row>
    <row r="1302" spans="1:2" x14ac:dyDescent="0.25">
      <c r="A1302" t="s">
        <v>4</v>
      </c>
      <c r="B1302" t="s">
        <v>16</v>
      </c>
    </row>
    <row r="1304" spans="1:2" x14ac:dyDescent="0.25">
      <c r="A1304" t="s">
        <v>2</v>
      </c>
      <c r="B1304" t="s">
        <v>22</v>
      </c>
    </row>
    <row r="1306" spans="1:2" x14ac:dyDescent="0.25">
      <c r="A1306" t="s">
        <v>10</v>
      </c>
      <c r="B1306" t="s">
        <v>8</v>
      </c>
    </row>
    <row r="1308" spans="1:2" x14ac:dyDescent="0.25">
      <c r="A1308" t="s">
        <v>12</v>
      </c>
      <c r="B1308" t="s">
        <v>5</v>
      </c>
    </row>
    <row r="1310" spans="1:2" x14ac:dyDescent="0.25">
      <c r="A1310" t="s">
        <v>2</v>
      </c>
      <c r="B1310" t="s">
        <v>14</v>
      </c>
    </row>
    <row r="1312" spans="1:2" x14ac:dyDescent="0.25">
      <c r="A1312" t="s">
        <v>7</v>
      </c>
      <c r="B1312" t="s">
        <v>15</v>
      </c>
    </row>
    <row r="1314" spans="1:2" x14ac:dyDescent="0.25">
      <c r="A1314" t="s">
        <v>4</v>
      </c>
      <c r="B1314" t="s">
        <v>11</v>
      </c>
    </row>
    <row r="1316" spans="1:2" x14ac:dyDescent="0.25">
      <c r="A1316" t="s">
        <v>2</v>
      </c>
      <c r="B1316" t="s">
        <v>1</v>
      </c>
    </row>
    <row r="1318" spans="1:2" x14ac:dyDescent="0.25">
      <c r="A1318" t="s">
        <v>4</v>
      </c>
      <c r="B1318" t="s">
        <v>19</v>
      </c>
    </row>
    <row r="1321" spans="1:2" x14ac:dyDescent="0.25">
      <c r="A1321" t="s">
        <v>62</v>
      </c>
    </row>
    <row r="1323" spans="1:2" x14ac:dyDescent="0.25">
      <c r="A1323" t="s">
        <v>4</v>
      </c>
      <c r="B1323" t="s">
        <v>1</v>
      </c>
    </row>
    <row r="1325" spans="1:2" x14ac:dyDescent="0.25">
      <c r="A1325" t="s">
        <v>20</v>
      </c>
      <c r="B1325" t="s">
        <v>3</v>
      </c>
    </row>
    <row r="1327" spans="1:2" x14ac:dyDescent="0.25">
      <c r="A1327" t="s">
        <v>4</v>
      </c>
      <c r="B1327" t="s">
        <v>14</v>
      </c>
    </row>
    <row r="1329" spans="1:2" x14ac:dyDescent="0.25">
      <c r="A1329" t="s">
        <v>2</v>
      </c>
      <c r="B1329" t="s">
        <v>9</v>
      </c>
    </row>
    <row r="1331" spans="1:2" x14ac:dyDescent="0.25">
      <c r="A1331" t="s">
        <v>2</v>
      </c>
      <c r="B1331" t="s">
        <v>6</v>
      </c>
    </row>
    <row r="1333" spans="1:2" x14ac:dyDescent="0.25">
      <c r="A1333" t="s">
        <v>2</v>
      </c>
      <c r="B1333" t="s">
        <v>11</v>
      </c>
    </row>
    <row r="1335" spans="1:2" x14ac:dyDescent="0.25">
      <c r="A1335" t="s">
        <v>2</v>
      </c>
      <c r="B1335" t="s">
        <v>19</v>
      </c>
    </row>
    <row r="1337" spans="1:2" x14ac:dyDescent="0.25">
      <c r="A1337" t="s">
        <v>4</v>
      </c>
      <c r="B1337" t="s">
        <v>18</v>
      </c>
    </row>
    <row r="1339" spans="1:2" x14ac:dyDescent="0.25">
      <c r="A1339" t="s">
        <v>2</v>
      </c>
      <c r="B1339" t="s">
        <v>16</v>
      </c>
    </row>
    <row r="1341" spans="1:2" x14ac:dyDescent="0.25">
      <c r="A1341" t="s">
        <v>17</v>
      </c>
      <c r="B1341" t="s">
        <v>8</v>
      </c>
    </row>
    <row r="1343" spans="1:2" x14ac:dyDescent="0.25">
      <c r="A1343" t="s">
        <v>12</v>
      </c>
      <c r="B1343" t="s">
        <v>15</v>
      </c>
    </row>
    <row r="1345" spans="1:2" x14ac:dyDescent="0.25">
      <c r="A1345" t="s">
        <v>4</v>
      </c>
      <c r="B1345" t="s">
        <v>22</v>
      </c>
    </row>
    <row r="1347" spans="1:2" x14ac:dyDescent="0.25">
      <c r="A1347" t="s">
        <v>10</v>
      </c>
      <c r="B1347" t="s">
        <v>5</v>
      </c>
    </row>
    <row r="1349" spans="1:2" x14ac:dyDescent="0.25">
      <c r="A1349" t="s">
        <v>7</v>
      </c>
      <c r="B1349" t="s">
        <v>13</v>
      </c>
    </row>
    <row r="1351" spans="1:2" x14ac:dyDescent="0.25">
      <c r="A1351" t="s">
        <v>4</v>
      </c>
      <c r="B1351" t="s">
        <v>21</v>
      </c>
    </row>
    <row r="1354" spans="1:2" x14ac:dyDescent="0.25">
      <c r="A1354" t="s">
        <v>63</v>
      </c>
    </row>
    <row r="1356" spans="1:2" x14ac:dyDescent="0.25">
      <c r="A1356" t="s">
        <v>2</v>
      </c>
      <c r="B1356" t="s">
        <v>13</v>
      </c>
    </row>
    <row r="1358" spans="1:2" x14ac:dyDescent="0.25">
      <c r="A1358" t="s">
        <v>4</v>
      </c>
      <c r="B1358" t="s">
        <v>9</v>
      </c>
    </row>
    <row r="1360" spans="1:2" x14ac:dyDescent="0.25">
      <c r="A1360" t="s">
        <v>7</v>
      </c>
      <c r="B1360" t="s">
        <v>22</v>
      </c>
    </row>
    <row r="1362" spans="1:2" x14ac:dyDescent="0.25">
      <c r="A1362" t="s">
        <v>12</v>
      </c>
      <c r="B1362" t="s">
        <v>1</v>
      </c>
    </row>
    <row r="1364" spans="1:2" x14ac:dyDescent="0.25">
      <c r="A1364" t="s">
        <v>2</v>
      </c>
      <c r="B1364" t="s">
        <v>8</v>
      </c>
    </row>
    <row r="1366" spans="1:2" x14ac:dyDescent="0.25">
      <c r="A1366" t="s">
        <v>2</v>
      </c>
      <c r="B1366" t="s">
        <v>5</v>
      </c>
    </row>
    <row r="1368" spans="1:2" x14ac:dyDescent="0.25">
      <c r="A1368" t="s">
        <v>4</v>
      </c>
      <c r="B1368" t="s">
        <v>16</v>
      </c>
    </row>
    <row r="1370" spans="1:2" x14ac:dyDescent="0.25">
      <c r="A1370" t="s">
        <v>4</v>
      </c>
      <c r="B1370" t="s">
        <v>6</v>
      </c>
    </row>
    <row r="1372" spans="1:2" x14ac:dyDescent="0.25">
      <c r="A1372" t="s">
        <v>4</v>
      </c>
      <c r="B1372" t="s">
        <v>19</v>
      </c>
    </row>
    <row r="1374" spans="1:2" x14ac:dyDescent="0.25">
      <c r="A1374" t="s">
        <v>2</v>
      </c>
      <c r="B1374" t="s">
        <v>3</v>
      </c>
    </row>
    <row r="1376" spans="1:2" x14ac:dyDescent="0.25">
      <c r="A1376" t="s">
        <v>10</v>
      </c>
      <c r="B1376" t="s">
        <v>14</v>
      </c>
    </row>
    <row r="1378" spans="1:2" x14ac:dyDescent="0.25">
      <c r="A1378" t="s">
        <v>17</v>
      </c>
      <c r="B1378" t="s">
        <v>21</v>
      </c>
    </row>
    <row r="1380" spans="1:2" x14ac:dyDescent="0.25">
      <c r="A1380" t="s">
        <v>20</v>
      </c>
      <c r="B1380" t="s">
        <v>18</v>
      </c>
    </row>
    <row r="1382" spans="1:2" x14ac:dyDescent="0.25">
      <c r="A1382" t="s">
        <v>2</v>
      </c>
      <c r="B1382" t="s">
        <v>15</v>
      </c>
    </row>
    <row r="1384" spans="1:2" x14ac:dyDescent="0.25">
      <c r="A1384" t="s">
        <v>4</v>
      </c>
      <c r="B1384" t="s">
        <v>11</v>
      </c>
    </row>
    <row r="1387" spans="1:2" x14ac:dyDescent="0.25">
      <c r="A1387" t="s">
        <v>64</v>
      </c>
    </row>
    <row r="1389" spans="1:2" x14ac:dyDescent="0.25">
      <c r="A1389" t="s">
        <v>20</v>
      </c>
      <c r="B1389" t="s">
        <v>9</v>
      </c>
    </row>
    <row r="1391" spans="1:2" x14ac:dyDescent="0.25">
      <c r="A1391" t="s">
        <v>4</v>
      </c>
      <c r="B1391" t="s">
        <v>14</v>
      </c>
    </row>
    <row r="1393" spans="1:2" x14ac:dyDescent="0.25">
      <c r="A1393" t="s">
        <v>7</v>
      </c>
      <c r="B1393" t="s">
        <v>11</v>
      </c>
    </row>
    <row r="1395" spans="1:2" x14ac:dyDescent="0.25">
      <c r="A1395" t="s">
        <v>17</v>
      </c>
      <c r="B1395" t="s">
        <v>6</v>
      </c>
    </row>
    <row r="1397" spans="1:2" x14ac:dyDescent="0.25">
      <c r="A1397" t="s">
        <v>2</v>
      </c>
      <c r="B1397" t="s">
        <v>8</v>
      </c>
    </row>
    <row r="1399" spans="1:2" x14ac:dyDescent="0.25">
      <c r="A1399" t="s">
        <v>2</v>
      </c>
      <c r="B1399" t="s">
        <v>3</v>
      </c>
    </row>
    <row r="1401" spans="1:2" x14ac:dyDescent="0.25">
      <c r="A1401" t="s">
        <v>4</v>
      </c>
      <c r="B1401" t="s">
        <v>1</v>
      </c>
    </row>
    <row r="1403" spans="1:2" x14ac:dyDescent="0.25">
      <c r="A1403" t="s">
        <v>2</v>
      </c>
      <c r="B1403" t="s">
        <v>15</v>
      </c>
    </row>
    <row r="1405" spans="1:2" x14ac:dyDescent="0.25">
      <c r="A1405" t="s">
        <v>12</v>
      </c>
      <c r="B1405" t="s">
        <v>16</v>
      </c>
    </row>
    <row r="1407" spans="1:2" x14ac:dyDescent="0.25">
      <c r="A1407" t="s">
        <v>4</v>
      </c>
      <c r="B1407" t="s">
        <v>22</v>
      </c>
    </row>
    <row r="1409" spans="1:2" x14ac:dyDescent="0.25">
      <c r="A1409" t="s">
        <v>10</v>
      </c>
      <c r="B1409" t="s">
        <v>19</v>
      </c>
    </row>
    <row r="1411" spans="1:2" x14ac:dyDescent="0.25">
      <c r="A1411" t="s">
        <v>4</v>
      </c>
      <c r="B1411" t="s">
        <v>21</v>
      </c>
    </row>
    <row r="1413" spans="1:2" x14ac:dyDescent="0.25">
      <c r="A1413" t="s">
        <v>2</v>
      </c>
      <c r="B1413" t="s">
        <v>13</v>
      </c>
    </row>
    <row r="1415" spans="1:2" x14ac:dyDescent="0.25">
      <c r="A1415" t="s">
        <v>2</v>
      </c>
      <c r="B1415" t="s">
        <v>5</v>
      </c>
    </row>
    <row r="1417" spans="1:2" x14ac:dyDescent="0.25">
      <c r="A1417" t="s">
        <v>4</v>
      </c>
      <c r="B1417" t="s">
        <v>18</v>
      </c>
    </row>
    <row r="1420" spans="1:2" x14ac:dyDescent="0.25">
      <c r="A1420" t="s">
        <v>65</v>
      </c>
    </row>
    <row r="1422" spans="1:2" x14ac:dyDescent="0.25">
      <c r="A1422" t="s">
        <v>10</v>
      </c>
      <c r="B1422" t="s">
        <v>11</v>
      </c>
    </row>
    <row r="1424" spans="1:2" x14ac:dyDescent="0.25">
      <c r="A1424" t="s">
        <v>4</v>
      </c>
      <c r="B1424" t="s">
        <v>15</v>
      </c>
    </row>
    <row r="1426" spans="1:2" x14ac:dyDescent="0.25">
      <c r="A1426" t="s">
        <v>2</v>
      </c>
      <c r="B1426" t="s">
        <v>22</v>
      </c>
    </row>
    <row r="1428" spans="1:2" x14ac:dyDescent="0.25">
      <c r="A1428" t="s">
        <v>20</v>
      </c>
      <c r="B1428" t="s">
        <v>6</v>
      </c>
    </row>
    <row r="1430" spans="1:2" x14ac:dyDescent="0.25">
      <c r="A1430" t="s">
        <v>4</v>
      </c>
      <c r="B1430" t="s">
        <v>3</v>
      </c>
    </row>
    <row r="1432" spans="1:2" x14ac:dyDescent="0.25">
      <c r="A1432" t="s">
        <v>7</v>
      </c>
      <c r="B1432" t="s">
        <v>9</v>
      </c>
    </row>
    <row r="1434" spans="1:2" x14ac:dyDescent="0.25">
      <c r="A1434" t="s">
        <v>4</v>
      </c>
      <c r="B1434" t="s">
        <v>5</v>
      </c>
    </row>
    <row r="1436" spans="1:2" x14ac:dyDescent="0.25">
      <c r="A1436" t="s">
        <v>17</v>
      </c>
      <c r="B1436" t="s">
        <v>19</v>
      </c>
    </row>
    <row r="1438" spans="1:2" x14ac:dyDescent="0.25">
      <c r="A1438" t="s">
        <v>2</v>
      </c>
      <c r="B1438" t="s">
        <v>1</v>
      </c>
    </row>
    <row r="1440" spans="1:2" x14ac:dyDescent="0.25">
      <c r="A1440" t="s">
        <v>4</v>
      </c>
      <c r="B1440" t="s">
        <v>13</v>
      </c>
    </row>
    <row r="1442" spans="1:2" x14ac:dyDescent="0.25">
      <c r="A1442" t="s">
        <v>2</v>
      </c>
      <c r="B1442" t="s">
        <v>14</v>
      </c>
    </row>
    <row r="1444" spans="1:2" x14ac:dyDescent="0.25">
      <c r="A1444" t="s">
        <v>4</v>
      </c>
      <c r="B1444" t="s">
        <v>8</v>
      </c>
    </row>
    <row r="1446" spans="1:2" x14ac:dyDescent="0.25">
      <c r="A1446" t="s">
        <v>2</v>
      </c>
      <c r="B1446" t="s">
        <v>18</v>
      </c>
    </row>
    <row r="1448" spans="1:2" x14ac:dyDescent="0.25">
      <c r="A1448" t="s">
        <v>2</v>
      </c>
      <c r="B1448" t="s">
        <v>21</v>
      </c>
    </row>
    <row r="1450" spans="1:2" x14ac:dyDescent="0.25">
      <c r="A1450" t="s">
        <v>12</v>
      </c>
      <c r="B1450" t="s">
        <v>16</v>
      </c>
    </row>
    <row r="1453" spans="1:2" x14ac:dyDescent="0.25">
      <c r="A1453" t="s">
        <v>66</v>
      </c>
    </row>
    <row r="1455" spans="1:2" x14ac:dyDescent="0.25">
      <c r="A1455" t="s">
        <v>10</v>
      </c>
      <c r="B1455" t="s">
        <v>1</v>
      </c>
    </row>
    <row r="1457" spans="1:2" x14ac:dyDescent="0.25">
      <c r="A1457" t="s">
        <v>7</v>
      </c>
      <c r="B1457" t="s">
        <v>21</v>
      </c>
    </row>
    <row r="1459" spans="1:2" x14ac:dyDescent="0.25">
      <c r="A1459" t="s">
        <v>4</v>
      </c>
      <c r="B1459" t="s">
        <v>6</v>
      </c>
    </row>
    <row r="1461" spans="1:2" x14ac:dyDescent="0.25">
      <c r="A1461" t="s">
        <v>2</v>
      </c>
      <c r="B1461" t="s">
        <v>8</v>
      </c>
    </row>
    <row r="1463" spans="1:2" x14ac:dyDescent="0.25">
      <c r="A1463" t="s">
        <v>12</v>
      </c>
      <c r="B1463" t="s">
        <v>18</v>
      </c>
    </row>
    <row r="1465" spans="1:2" x14ac:dyDescent="0.25">
      <c r="A1465" t="s">
        <v>2</v>
      </c>
      <c r="B1465" t="s">
        <v>5</v>
      </c>
    </row>
    <row r="1467" spans="1:2" x14ac:dyDescent="0.25">
      <c r="A1467" t="s">
        <v>20</v>
      </c>
      <c r="B1467" t="s">
        <v>22</v>
      </c>
    </row>
    <row r="1469" spans="1:2" x14ac:dyDescent="0.25">
      <c r="A1469" t="s">
        <v>4</v>
      </c>
      <c r="B1469" t="s">
        <v>9</v>
      </c>
    </row>
    <row r="1471" spans="1:2" x14ac:dyDescent="0.25">
      <c r="A1471" t="s">
        <v>17</v>
      </c>
      <c r="B1471" t="s">
        <v>14</v>
      </c>
    </row>
    <row r="1473" spans="1:2" x14ac:dyDescent="0.25">
      <c r="A1473" t="s">
        <v>2</v>
      </c>
      <c r="B1473" t="s">
        <v>15</v>
      </c>
    </row>
    <row r="1475" spans="1:2" x14ac:dyDescent="0.25">
      <c r="A1475" t="s">
        <v>4</v>
      </c>
      <c r="B1475" t="s">
        <v>11</v>
      </c>
    </row>
    <row r="1477" spans="1:2" x14ac:dyDescent="0.25">
      <c r="A1477" t="s">
        <v>4</v>
      </c>
      <c r="B1477" t="s">
        <v>16</v>
      </c>
    </row>
    <row r="1479" spans="1:2" x14ac:dyDescent="0.25">
      <c r="A1479" t="s">
        <v>4</v>
      </c>
      <c r="B1479" t="s">
        <v>19</v>
      </c>
    </row>
    <row r="1481" spans="1:2" x14ac:dyDescent="0.25">
      <c r="A1481" t="s">
        <v>2</v>
      </c>
      <c r="B1481" t="s">
        <v>3</v>
      </c>
    </row>
    <row r="1483" spans="1:2" x14ac:dyDescent="0.25">
      <c r="A1483" t="s">
        <v>2</v>
      </c>
      <c r="B1483" t="s">
        <v>13</v>
      </c>
    </row>
    <row r="1486" spans="1:2" x14ac:dyDescent="0.25">
      <c r="A1486" t="s">
        <v>67</v>
      </c>
    </row>
    <row r="1488" spans="1:2" x14ac:dyDescent="0.25">
      <c r="A1488" t="s">
        <v>2</v>
      </c>
      <c r="B1488" t="s">
        <v>11</v>
      </c>
    </row>
    <row r="1490" spans="1:2" x14ac:dyDescent="0.25">
      <c r="A1490" t="s">
        <v>4</v>
      </c>
      <c r="B1490" t="s">
        <v>15</v>
      </c>
    </row>
    <row r="1492" spans="1:2" x14ac:dyDescent="0.25">
      <c r="A1492" t="s">
        <v>7</v>
      </c>
      <c r="B1492" t="s">
        <v>18</v>
      </c>
    </row>
    <row r="1494" spans="1:2" x14ac:dyDescent="0.25">
      <c r="A1494" t="s">
        <v>4</v>
      </c>
      <c r="B1494" t="s">
        <v>13</v>
      </c>
    </row>
    <row r="1496" spans="1:2" x14ac:dyDescent="0.25">
      <c r="A1496" t="s">
        <v>10</v>
      </c>
      <c r="B1496" t="s">
        <v>14</v>
      </c>
    </row>
    <row r="1498" spans="1:2" x14ac:dyDescent="0.25">
      <c r="A1498" t="s">
        <v>4</v>
      </c>
      <c r="B1498" t="s">
        <v>3</v>
      </c>
    </row>
    <row r="1500" spans="1:2" x14ac:dyDescent="0.25">
      <c r="A1500" t="s">
        <v>2</v>
      </c>
      <c r="B1500" t="s">
        <v>6</v>
      </c>
    </row>
    <row r="1502" spans="1:2" x14ac:dyDescent="0.25">
      <c r="A1502" t="s">
        <v>2</v>
      </c>
      <c r="B1502" t="s">
        <v>9</v>
      </c>
    </row>
    <row r="1504" spans="1:2" x14ac:dyDescent="0.25">
      <c r="A1504" t="s">
        <v>2</v>
      </c>
      <c r="B1504" t="s">
        <v>19</v>
      </c>
    </row>
    <row r="1506" spans="1:2" x14ac:dyDescent="0.25">
      <c r="A1506" t="s">
        <v>20</v>
      </c>
      <c r="B1506" t="s">
        <v>1</v>
      </c>
    </row>
    <row r="1508" spans="1:2" x14ac:dyDescent="0.25">
      <c r="A1508" t="s">
        <v>2</v>
      </c>
      <c r="B1508" t="s">
        <v>16</v>
      </c>
    </row>
    <row r="1510" spans="1:2" x14ac:dyDescent="0.25">
      <c r="A1510" t="s">
        <v>4</v>
      </c>
      <c r="B1510" t="s">
        <v>8</v>
      </c>
    </row>
    <row r="1512" spans="1:2" x14ac:dyDescent="0.25">
      <c r="A1512" t="s">
        <v>4</v>
      </c>
      <c r="B1512" t="s">
        <v>5</v>
      </c>
    </row>
    <row r="1514" spans="1:2" x14ac:dyDescent="0.25">
      <c r="A1514" t="s">
        <v>12</v>
      </c>
      <c r="B1514" t="s">
        <v>22</v>
      </c>
    </row>
    <row r="1516" spans="1:2" x14ac:dyDescent="0.25">
      <c r="A1516" t="s">
        <v>17</v>
      </c>
      <c r="B1516" t="s">
        <v>21</v>
      </c>
    </row>
    <row r="1519" spans="1:2" x14ac:dyDescent="0.25">
      <c r="A1519" t="s">
        <v>68</v>
      </c>
    </row>
    <row r="1521" spans="1:2" x14ac:dyDescent="0.25">
      <c r="A1521" t="s">
        <v>2</v>
      </c>
      <c r="B1521" t="s">
        <v>18</v>
      </c>
    </row>
    <row r="1523" spans="1:2" x14ac:dyDescent="0.25">
      <c r="A1523" t="s">
        <v>2</v>
      </c>
      <c r="B1523" t="s">
        <v>1</v>
      </c>
    </row>
    <row r="1525" spans="1:2" x14ac:dyDescent="0.25">
      <c r="A1525" t="s">
        <v>4</v>
      </c>
      <c r="B1525" t="s">
        <v>9</v>
      </c>
    </row>
    <row r="1527" spans="1:2" x14ac:dyDescent="0.25">
      <c r="A1527" t="s">
        <v>4</v>
      </c>
      <c r="B1527" t="s">
        <v>6</v>
      </c>
    </row>
    <row r="1529" spans="1:2" x14ac:dyDescent="0.25">
      <c r="A1529" t="s">
        <v>20</v>
      </c>
      <c r="B1529" t="s">
        <v>8</v>
      </c>
    </row>
    <row r="1531" spans="1:2" x14ac:dyDescent="0.25">
      <c r="A1531" t="s">
        <v>2</v>
      </c>
      <c r="B1531" t="s">
        <v>21</v>
      </c>
    </row>
    <row r="1533" spans="1:2" x14ac:dyDescent="0.25">
      <c r="A1533" t="s">
        <v>17</v>
      </c>
      <c r="B1533" t="s">
        <v>13</v>
      </c>
    </row>
    <row r="1535" spans="1:2" x14ac:dyDescent="0.25">
      <c r="A1535" t="s">
        <v>4</v>
      </c>
      <c r="B1535" t="s">
        <v>16</v>
      </c>
    </row>
    <row r="1537" spans="1:2" x14ac:dyDescent="0.25">
      <c r="A1537" t="s">
        <v>7</v>
      </c>
      <c r="B1537" t="s">
        <v>3</v>
      </c>
    </row>
    <row r="1539" spans="1:2" x14ac:dyDescent="0.25">
      <c r="A1539" t="s">
        <v>2</v>
      </c>
      <c r="B1539" t="s">
        <v>14</v>
      </c>
    </row>
    <row r="1541" spans="1:2" x14ac:dyDescent="0.25">
      <c r="A1541" t="s">
        <v>4</v>
      </c>
      <c r="B1541" t="s">
        <v>19</v>
      </c>
    </row>
    <row r="1543" spans="1:2" x14ac:dyDescent="0.25">
      <c r="A1543" t="s">
        <v>12</v>
      </c>
      <c r="B1543" t="s">
        <v>5</v>
      </c>
    </row>
    <row r="1545" spans="1:2" x14ac:dyDescent="0.25">
      <c r="A1545" t="s">
        <v>4</v>
      </c>
      <c r="B1545" t="s">
        <v>11</v>
      </c>
    </row>
    <row r="1547" spans="1:2" x14ac:dyDescent="0.25">
      <c r="A1547" t="s">
        <v>2</v>
      </c>
      <c r="B1547" t="s">
        <v>22</v>
      </c>
    </row>
    <row r="1549" spans="1:2" x14ac:dyDescent="0.25">
      <c r="A1549" t="s">
        <v>10</v>
      </c>
      <c r="B1549" t="s">
        <v>15</v>
      </c>
    </row>
    <row r="1552" spans="1:2" x14ac:dyDescent="0.25">
      <c r="A1552" t="s">
        <v>69</v>
      </c>
    </row>
    <row r="1554" spans="1:2" x14ac:dyDescent="0.25">
      <c r="A1554" t="s">
        <v>4</v>
      </c>
      <c r="B1554" t="s">
        <v>1</v>
      </c>
    </row>
    <row r="1556" spans="1:2" x14ac:dyDescent="0.25">
      <c r="A1556" t="s">
        <v>7</v>
      </c>
      <c r="B1556" t="s">
        <v>15</v>
      </c>
    </row>
    <row r="1558" spans="1:2" x14ac:dyDescent="0.25">
      <c r="A1558" t="s">
        <v>20</v>
      </c>
      <c r="B1558" t="s">
        <v>3</v>
      </c>
    </row>
    <row r="1560" spans="1:2" x14ac:dyDescent="0.25">
      <c r="A1560" t="s">
        <v>2</v>
      </c>
      <c r="B1560" t="s">
        <v>19</v>
      </c>
    </row>
    <row r="1562" spans="1:2" x14ac:dyDescent="0.25">
      <c r="A1562" t="s">
        <v>12</v>
      </c>
      <c r="B1562" t="s">
        <v>5</v>
      </c>
    </row>
    <row r="1564" spans="1:2" x14ac:dyDescent="0.25">
      <c r="A1564" t="s">
        <v>2</v>
      </c>
      <c r="B1564" t="s">
        <v>16</v>
      </c>
    </row>
    <row r="1566" spans="1:2" x14ac:dyDescent="0.25">
      <c r="A1566" t="s">
        <v>10</v>
      </c>
      <c r="B1566" t="s">
        <v>8</v>
      </c>
    </row>
    <row r="1568" spans="1:2" x14ac:dyDescent="0.25">
      <c r="A1568" t="s">
        <v>4</v>
      </c>
      <c r="B1568" t="s">
        <v>14</v>
      </c>
    </row>
    <row r="1570" spans="1:2" x14ac:dyDescent="0.25">
      <c r="A1570" t="s">
        <v>2</v>
      </c>
      <c r="B1570" t="s">
        <v>11</v>
      </c>
    </row>
    <row r="1572" spans="1:2" x14ac:dyDescent="0.25">
      <c r="A1572" t="s">
        <v>17</v>
      </c>
      <c r="B1572" t="s">
        <v>13</v>
      </c>
    </row>
    <row r="1574" spans="1:2" x14ac:dyDescent="0.25">
      <c r="A1574" t="s">
        <v>4</v>
      </c>
      <c r="B1574" t="s">
        <v>18</v>
      </c>
    </row>
    <row r="1576" spans="1:2" x14ac:dyDescent="0.25">
      <c r="A1576" t="s">
        <v>4</v>
      </c>
      <c r="B1576" t="s">
        <v>22</v>
      </c>
    </row>
    <row r="1578" spans="1:2" x14ac:dyDescent="0.25">
      <c r="A1578" t="s">
        <v>2</v>
      </c>
      <c r="B1578" t="s">
        <v>6</v>
      </c>
    </row>
    <row r="1580" spans="1:2" x14ac:dyDescent="0.25">
      <c r="A1580" t="s">
        <v>2</v>
      </c>
      <c r="B1580" t="s">
        <v>9</v>
      </c>
    </row>
    <row r="1582" spans="1:2" x14ac:dyDescent="0.25">
      <c r="A1582" t="s">
        <v>4</v>
      </c>
      <c r="B1582" t="s">
        <v>21</v>
      </c>
    </row>
    <row r="1585" spans="1:2" x14ac:dyDescent="0.25">
      <c r="A1585" t="s">
        <v>70</v>
      </c>
    </row>
    <row r="1587" spans="1:2" x14ac:dyDescent="0.25">
      <c r="A1587" t="s">
        <v>4</v>
      </c>
      <c r="B1587" t="s">
        <v>16</v>
      </c>
    </row>
    <row r="1589" spans="1:2" x14ac:dyDescent="0.25">
      <c r="A1589" t="s">
        <v>2</v>
      </c>
      <c r="B1589" t="s">
        <v>13</v>
      </c>
    </row>
    <row r="1591" spans="1:2" x14ac:dyDescent="0.25">
      <c r="A1591" t="s">
        <v>17</v>
      </c>
      <c r="B1591" t="s">
        <v>18</v>
      </c>
    </row>
    <row r="1593" spans="1:2" x14ac:dyDescent="0.25">
      <c r="A1593" t="s">
        <v>2</v>
      </c>
      <c r="B1593" t="s">
        <v>8</v>
      </c>
    </row>
    <row r="1595" spans="1:2" x14ac:dyDescent="0.25">
      <c r="A1595" t="s">
        <v>7</v>
      </c>
      <c r="B1595" t="s">
        <v>1</v>
      </c>
    </row>
    <row r="1597" spans="1:2" x14ac:dyDescent="0.25">
      <c r="A1597" t="s">
        <v>4</v>
      </c>
      <c r="B1597" t="s">
        <v>19</v>
      </c>
    </row>
    <row r="1599" spans="1:2" x14ac:dyDescent="0.25">
      <c r="A1599" t="s">
        <v>20</v>
      </c>
      <c r="B1599" t="s">
        <v>14</v>
      </c>
    </row>
    <row r="1601" spans="1:2" x14ac:dyDescent="0.25">
      <c r="A1601" t="s">
        <v>4</v>
      </c>
      <c r="B1601" t="s">
        <v>9</v>
      </c>
    </row>
    <row r="1603" spans="1:2" x14ac:dyDescent="0.25">
      <c r="A1603" t="s">
        <v>2</v>
      </c>
      <c r="B1603" t="s">
        <v>3</v>
      </c>
    </row>
    <row r="1605" spans="1:2" x14ac:dyDescent="0.25">
      <c r="A1605" t="s">
        <v>4</v>
      </c>
      <c r="B1605" t="s">
        <v>6</v>
      </c>
    </row>
    <row r="1607" spans="1:2" x14ac:dyDescent="0.25">
      <c r="A1607" t="s">
        <v>2</v>
      </c>
      <c r="B1607" t="s">
        <v>5</v>
      </c>
    </row>
    <row r="1609" spans="1:2" x14ac:dyDescent="0.25">
      <c r="A1609" t="s">
        <v>10</v>
      </c>
      <c r="B1609" t="s">
        <v>21</v>
      </c>
    </row>
    <row r="1611" spans="1:2" x14ac:dyDescent="0.25">
      <c r="A1611" t="s">
        <v>12</v>
      </c>
      <c r="B1611" t="s">
        <v>22</v>
      </c>
    </row>
    <row r="1613" spans="1:2" x14ac:dyDescent="0.25">
      <c r="A1613" t="s">
        <v>4</v>
      </c>
      <c r="B1613" t="s">
        <v>11</v>
      </c>
    </row>
    <row r="1615" spans="1:2" x14ac:dyDescent="0.25">
      <c r="A1615" t="s">
        <v>2</v>
      </c>
      <c r="B1615" t="s">
        <v>15</v>
      </c>
    </row>
    <row r="1618" spans="1:2" x14ac:dyDescent="0.25">
      <c r="A1618" t="s">
        <v>71</v>
      </c>
    </row>
    <row r="1620" spans="1:2" x14ac:dyDescent="0.25">
      <c r="A1620" t="s">
        <v>20</v>
      </c>
      <c r="B1620" t="s">
        <v>16</v>
      </c>
    </row>
    <row r="1622" spans="1:2" x14ac:dyDescent="0.25">
      <c r="A1622" t="s">
        <v>2</v>
      </c>
      <c r="B1622" t="s">
        <v>5</v>
      </c>
    </row>
    <row r="1624" spans="1:2" x14ac:dyDescent="0.25">
      <c r="A1624" t="s">
        <v>17</v>
      </c>
      <c r="B1624" t="s">
        <v>11</v>
      </c>
    </row>
    <row r="1626" spans="1:2" x14ac:dyDescent="0.25">
      <c r="A1626" t="s">
        <v>7</v>
      </c>
      <c r="B1626" t="s">
        <v>6</v>
      </c>
    </row>
    <row r="1628" spans="1:2" x14ac:dyDescent="0.25">
      <c r="A1628" t="s">
        <v>2</v>
      </c>
      <c r="B1628" t="s">
        <v>15</v>
      </c>
    </row>
    <row r="1630" spans="1:2" x14ac:dyDescent="0.25">
      <c r="A1630" t="s">
        <v>2</v>
      </c>
      <c r="B1630" t="s">
        <v>13</v>
      </c>
    </row>
    <row r="1632" spans="1:2" x14ac:dyDescent="0.25">
      <c r="A1632" t="s">
        <v>12</v>
      </c>
      <c r="B1632" t="s">
        <v>19</v>
      </c>
    </row>
    <row r="1634" spans="1:2" x14ac:dyDescent="0.25">
      <c r="A1634" t="s">
        <v>2</v>
      </c>
      <c r="B1634" t="s">
        <v>3</v>
      </c>
    </row>
    <row r="1636" spans="1:2" x14ac:dyDescent="0.25">
      <c r="A1636" t="s">
        <v>4</v>
      </c>
      <c r="B1636" t="s">
        <v>1</v>
      </c>
    </row>
    <row r="1638" spans="1:2" x14ac:dyDescent="0.25">
      <c r="A1638" t="s">
        <v>4</v>
      </c>
      <c r="B1638" t="s">
        <v>22</v>
      </c>
    </row>
    <row r="1640" spans="1:2" x14ac:dyDescent="0.25">
      <c r="A1640" t="s">
        <v>4</v>
      </c>
      <c r="B1640" t="s">
        <v>18</v>
      </c>
    </row>
    <row r="1642" spans="1:2" x14ac:dyDescent="0.25">
      <c r="A1642" t="s">
        <v>4</v>
      </c>
      <c r="B1642" t="s">
        <v>14</v>
      </c>
    </row>
    <row r="1644" spans="1:2" x14ac:dyDescent="0.25">
      <c r="A1644" t="s">
        <v>4</v>
      </c>
      <c r="B1644" t="s">
        <v>21</v>
      </c>
    </row>
    <row r="1646" spans="1:2" x14ac:dyDescent="0.25">
      <c r="A1646" t="s">
        <v>2</v>
      </c>
      <c r="B1646" t="s">
        <v>8</v>
      </c>
    </row>
    <row r="1648" spans="1:2" x14ac:dyDescent="0.25">
      <c r="A1648" t="s">
        <v>10</v>
      </c>
      <c r="B1648" t="s">
        <v>9</v>
      </c>
    </row>
    <row r="1651" spans="1:2" x14ac:dyDescent="0.25">
      <c r="A1651" t="s">
        <v>72</v>
      </c>
    </row>
    <row r="1653" spans="1:2" x14ac:dyDescent="0.25">
      <c r="A1653" t="s">
        <v>2</v>
      </c>
      <c r="B1653" t="s">
        <v>21</v>
      </c>
    </row>
    <row r="1655" spans="1:2" x14ac:dyDescent="0.25">
      <c r="A1655" t="s">
        <v>4</v>
      </c>
      <c r="B1655" t="s">
        <v>5</v>
      </c>
    </row>
    <row r="1657" spans="1:2" x14ac:dyDescent="0.25">
      <c r="A1657" t="s">
        <v>7</v>
      </c>
      <c r="B1657" t="s">
        <v>19</v>
      </c>
    </row>
    <row r="1659" spans="1:2" x14ac:dyDescent="0.25">
      <c r="A1659" t="s">
        <v>2</v>
      </c>
      <c r="B1659" t="s">
        <v>18</v>
      </c>
    </row>
    <row r="1661" spans="1:2" x14ac:dyDescent="0.25">
      <c r="A1661" t="s">
        <v>4</v>
      </c>
      <c r="B1661" t="s">
        <v>13</v>
      </c>
    </row>
    <row r="1663" spans="1:2" x14ac:dyDescent="0.25">
      <c r="A1663" t="s">
        <v>4</v>
      </c>
      <c r="B1663" t="s">
        <v>15</v>
      </c>
    </row>
    <row r="1665" spans="1:2" x14ac:dyDescent="0.25">
      <c r="A1665" t="s">
        <v>17</v>
      </c>
      <c r="B1665" t="s">
        <v>9</v>
      </c>
    </row>
    <row r="1667" spans="1:2" x14ac:dyDescent="0.25">
      <c r="A1667" t="s">
        <v>20</v>
      </c>
      <c r="B1667" t="s">
        <v>16</v>
      </c>
    </row>
    <row r="1669" spans="1:2" x14ac:dyDescent="0.25">
      <c r="A1669" t="s">
        <v>12</v>
      </c>
      <c r="B1669" t="s">
        <v>11</v>
      </c>
    </row>
    <row r="1671" spans="1:2" x14ac:dyDescent="0.25">
      <c r="A1671" t="s">
        <v>2</v>
      </c>
      <c r="B1671" t="s">
        <v>14</v>
      </c>
    </row>
    <row r="1673" spans="1:2" x14ac:dyDescent="0.25">
      <c r="A1673" t="s">
        <v>4</v>
      </c>
      <c r="B1673" t="s">
        <v>8</v>
      </c>
    </row>
    <row r="1675" spans="1:2" x14ac:dyDescent="0.25">
      <c r="A1675" t="s">
        <v>2</v>
      </c>
      <c r="B1675" t="s">
        <v>1</v>
      </c>
    </row>
    <row r="1677" spans="1:2" x14ac:dyDescent="0.25">
      <c r="A1677" t="s">
        <v>2</v>
      </c>
      <c r="B1677" t="s">
        <v>22</v>
      </c>
    </row>
    <row r="1679" spans="1:2" x14ac:dyDescent="0.25">
      <c r="A1679" t="s">
        <v>10</v>
      </c>
      <c r="B1679" t="s">
        <v>6</v>
      </c>
    </row>
    <row r="1681" spans="1:2" x14ac:dyDescent="0.25">
      <c r="A1681" t="s">
        <v>4</v>
      </c>
      <c r="B1681" t="s">
        <v>3</v>
      </c>
    </row>
    <row r="1684" spans="1:2" x14ac:dyDescent="0.25">
      <c r="A1684" t="s">
        <v>73</v>
      </c>
    </row>
    <row r="1686" spans="1:2" x14ac:dyDescent="0.25">
      <c r="A1686" t="s">
        <v>2</v>
      </c>
      <c r="B1686" t="s">
        <v>16</v>
      </c>
    </row>
    <row r="1688" spans="1:2" x14ac:dyDescent="0.25">
      <c r="A1688" t="s">
        <v>4</v>
      </c>
      <c r="B1688" t="s">
        <v>8</v>
      </c>
    </row>
    <row r="1690" spans="1:2" x14ac:dyDescent="0.25">
      <c r="A1690" t="s">
        <v>17</v>
      </c>
      <c r="B1690" t="s">
        <v>18</v>
      </c>
    </row>
    <row r="1692" spans="1:2" x14ac:dyDescent="0.25">
      <c r="A1692" t="s">
        <v>7</v>
      </c>
      <c r="B1692" t="s">
        <v>14</v>
      </c>
    </row>
    <row r="1694" spans="1:2" x14ac:dyDescent="0.25">
      <c r="A1694" t="s">
        <v>2</v>
      </c>
      <c r="B1694" t="s">
        <v>19</v>
      </c>
    </row>
    <row r="1696" spans="1:2" x14ac:dyDescent="0.25">
      <c r="A1696" t="s">
        <v>2</v>
      </c>
      <c r="B1696" t="s">
        <v>9</v>
      </c>
    </row>
    <row r="1698" spans="1:2" x14ac:dyDescent="0.25">
      <c r="A1698" t="s">
        <v>20</v>
      </c>
      <c r="B1698" t="s">
        <v>21</v>
      </c>
    </row>
    <row r="1700" spans="1:2" x14ac:dyDescent="0.25">
      <c r="A1700" t="s">
        <v>2</v>
      </c>
      <c r="B1700" t="s">
        <v>11</v>
      </c>
    </row>
    <row r="1702" spans="1:2" x14ac:dyDescent="0.25">
      <c r="A1702" t="s">
        <v>4</v>
      </c>
      <c r="B1702" t="s">
        <v>3</v>
      </c>
    </row>
    <row r="1704" spans="1:2" x14ac:dyDescent="0.25">
      <c r="A1704" t="s">
        <v>4</v>
      </c>
      <c r="B1704" t="s">
        <v>15</v>
      </c>
    </row>
    <row r="1706" spans="1:2" x14ac:dyDescent="0.25">
      <c r="A1706" t="s">
        <v>12</v>
      </c>
      <c r="B1706" t="s">
        <v>22</v>
      </c>
    </row>
    <row r="1708" spans="1:2" x14ac:dyDescent="0.25">
      <c r="A1708" t="s">
        <v>2</v>
      </c>
      <c r="B1708" t="s">
        <v>6</v>
      </c>
    </row>
    <row r="1710" spans="1:2" x14ac:dyDescent="0.25">
      <c r="A1710" t="s">
        <v>10</v>
      </c>
      <c r="B1710" t="s">
        <v>1</v>
      </c>
    </row>
    <row r="1712" spans="1:2" x14ac:dyDescent="0.25">
      <c r="A1712" t="s">
        <v>4</v>
      </c>
      <c r="B1712" t="s">
        <v>13</v>
      </c>
    </row>
    <row r="1714" spans="1:2" x14ac:dyDescent="0.25">
      <c r="A1714" t="s">
        <v>4</v>
      </c>
      <c r="B1714" t="s">
        <v>5</v>
      </c>
    </row>
    <row r="1717" spans="1:2" x14ac:dyDescent="0.25">
      <c r="A1717" t="s">
        <v>74</v>
      </c>
    </row>
    <row r="1719" spans="1:2" x14ac:dyDescent="0.25">
      <c r="A1719" t="s">
        <v>4</v>
      </c>
      <c r="B1719" t="s">
        <v>11</v>
      </c>
    </row>
    <row r="1721" spans="1:2" x14ac:dyDescent="0.25">
      <c r="A1721" t="s">
        <v>2</v>
      </c>
      <c r="B1721" t="s">
        <v>21</v>
      </c>
    </row>
    <row r="1723" spans="1:2" x14ac:dyDescent="0.25">
      <c r="A1723" t="s">
        <v>4</v>
      </c>
      <c r="B1723" t="s">
        <v>9</v>
      </c>
    </row>
    <row r="1725" spans="1:2" x14ac:dyDescent="0.25">
      <c r="A1725" t="s">
        <v>20</v>
      </c>
      <c r="B1725" t="s">
        <v>13</v>
      </c>
    </row>
    <row r="1727" spans="1:2" x14ac:dyDescent="0.25">
      <c r="A1727" t="s">
        <v>4</v>
      </c>
      <c r="B1727" t="s">
        <v>16</v>
      </c>
    </row>
    <row r="1729" spans="1:2" x14ac:dyDescent="0.25">
      <c r="A1729" t="s">
        <v>2</v>
      </c>
      <c r="B1729" t="s">
        <v>14</v>
      </c>
    </row>
    <row r="1731" spans="1:2" x14ac:dyDescent="0.25">
      <c r="A1731" t="s">
        <v>7</v>
      </c>
      <c r="B1731" t="s">
        <v>8</v>
      </c>
    </row>
    <row r="1733" spans="1:2" x14ac:dyDescent="0.25">
      <c r="A1733" t="s">
        <v>4</v>
      </c>
      <c r="B1733" t="s">
        <v>19</v>
      </c>
    </row>
    <row r="1735" spans="1:2" x14ac:dyDescent="0.25">
      <c r="A1735" t="s">
        <v>12</v>
      </c>
      <c r="B1735" t="s">
        <v>3</v>
      </c>
    </row>
    <row r="1737" spans="1:2" x14ac:dyDescent="0.25">
      <c r="A1737" t="s">
        <v>10</v>
      </c>
      <c r="B1737" t="s">
        <v>15</v>
      </c>
    </row>
    <row r="1739" spans="1:2" x14ac:dyDescent="0.25">
      <c r="A1739" t="s">
        <v>2</v>
      </c>
      <c r="B1739" t="s">
        <v>22</v>
      </c>
    </row>
    <row r="1741" spans="1:2" x14ac:dyDescent="0.25">
      <c r="A1741" t="s">
        <v>4</v>
      </c>
      <c r="B1741" t="s">
        <v>6</v>
      </c>
    </row>
    <row r="1743" spans="1:2" x14ac:dyDescent="0.25">
      <c r="A1743" t="s">
        <v>2</v>
      </c>
      <c r="B1743" t="s">
        <v>1</v>
      </c>
    </row>
    <row r="1745" spans="1:2" x14ac:dyDescent="0.25">
      <c r="A1745" t="s">
        <v>2</v>
      </c>
      <c r="B1745" t="s">
        <v>18</v>
      </c>
    </row>
    <row r="1747" spans="1:2" x14ac:dyDescent="0.25">
      <c r="A1747" t="s">
        <v>17</v>
      </c>
      <c r="B1747" t="s">
        <v>5</v>
      </c>
    </row>
    <row r="1750" spans="1:2" x14ac:dyDescent="0.25">
      <c r="A1750" t="s">
        <v>75</v>
      </c>
    </row>
    <row r="1752" spans="1:2" x14ac:dyDescent="0.25">
      <c r="A1752" t="s">
        <v>4</v>
      </c>
      <c r="B1752" t="s">
        <v>1</v>
      </c>
    </row>
    <row r="1754" spans="1:2" x14ac:dyDescent="0.25">
      <c r="A1754" t="s">
        <v>7</v>
      </c>
      <c r="B1754" t="s">
        <v>15</v>
      </c>
    </row>
    <row r="1756" spans="1:2" x14ac:dyDescent="0.25">
      <c r="A1756" t="s">
        <v>20</v>
      </c>
      <c r="B1756" t="s">
        <v>3</v>
      </c>
    </row>
    <row r="1758" spans="1:2" x14ac:dyDescent="0.25">
      <c r="A1758" t="s">
        <v>4</v>
      </c>
      <c r="B1758" t="s">
        <v>14</v>
      </c>
    </row>
    <row r="1760" spans="1:2" x14ac:dyDescent="0.25">
      <c r="A1760" t="s">
        <v>4</v>
      </c>
      <c r="B1760" t="s">
        <v>22</v>
      </c>
    </row>
    <row r="1762" spans="1:2" x14ac:dyDescent="0.25">
      <c r="A1762" t="s">
        <v>2</v>
      </c>
      <c r="B1762" t="s">
        <v>16</v>
      </c>
    </row>
    <row r="1764" spans="1:2" x14ac:dyDescent="0.25">
      <c r="A1764" t="s">
        <v>2</v>
      </c>
      <c r="B1764" t="s">
        <v>19</v>
      </c>
    </row>
    <row r="1766" spans="1:2" x14ac:dyDescent="0.25">
      <c r="A1766" t="s">
        <v>2</v>
      </c>
      <c r="B1766" t="s">
        <v>9</v>
      </c>
    </row>
    <row r="1768" spans="1:2" x14ac:dyDescent="0.25">
      <c r="A1768" t="s">
        <v>2</v>
      </c>
      <c r="B1768" t="s">
        <v>11</v>
      </c>
    </row>
    <row r="1770" spans="1:2" x14ac:dyDescent="0.25">
      <c r="A1770" t="s">
        <v>4</v>
      </c>
      <c r="B1770" t="s">
        <v>21</v>
      </c>
    </row>
    <row r="1772" spans="1:2" x14ac:dyDescent="0.25">
      <c r="A1772" t="s">
        <v>10</v>
      </c>
      <c r="B1772" t="s">
        <v>13</v>
      </c>
    </row>
    <row r="1774" spans="1:2" x14ac:dyDescent="0.25">
      <c r="A1774" t="s">
        <v>17</v>
      </c>
      <c r="B1774" t="s">
        <v>8</v>
      </c>
    </row>
    <row r="1776" spans="1:2" x14ac:dyDescent="0.25">
      <c r="A1776" t="s">
        <v>2</v>
      </c>
      <c r="B1776" t="s">
        <v>6</v>
      </c>
    </row>
    <row r="1778" spans="1:2" x14ac:dyDescent="0.25">
      <c r="A1778" t="s">
        <v>4</v>
      </c>
      <c r="B1778" t="s">
        <v>18</v>
      </c>
    </row>
    <row r="1780" spans="1:2" x14ac:dyDescent="0.25">
      <c r="A1780" t="s">
        <v>12</v>
      </c>
      <c r="B1780" t="s">
        <v>5</v>
      </c>
    </row>
    <row r="1783" spans="1:2" x14ac:dyDescent="0.25">
      <c r="A1783" t="s">
        <v>76</v>
      </c>
    </row>
    <row r="1785" spans="1:2" x14ac:dyDescent="0.25">
      <c r="A1785" t="s">
        <v>2</v>
      </c>
      <c r="B1785" t="s">
        <v>8</v>
      </c>
    </row>
    <row r="1787" spans="1:2" x14ac:dyDescent="0.25">
      <c r="A1787" t="s">
        <v>12</v>
      </c>
      <c r="B1787" t="s">
        <v>18</v>
      </c>
    </row>
    <row r="1789" spans="1:2" x14ac:dyDescent="0.25">
      <c r="A1789" t="s">
        <v>20</v>
      </c>
      <c r="B1789" t="s">
        <v>1</v>
      </c>
    </row>
    <row r="1791" spans="1:2" x14ac:dyDescent="0.25">
      <c r="A1791" t="s">
        <v>17</v>
      </c>
      <c r="B1791" t="s">
        <v>14</v>
      </c>
    </row>
    <row r="1793" spans="1:2" x14ac:dyDescent="0.25">
      <c r="A1793" t="s">
        <v>2</v>
      </c>
      <c r="B1793" t="s">
        <v>5</v>
      </c>
    </row>
    <row r="1795" spans="1:2" x14ac:dyDescent="0.25">
      <c r="A1795" t="s">
        <v>4</v>
      </c>
      <c r="B1795" t="s">
        <v>11</v>
      </c>
    </row>
    <row r="1797" spans="1:2" x14ac:dyDescent="0.25">
      <c r="A1797" t="s">
        <v>4</v>
      </c>
      <c r="B1797" t="s">
        <v>19</v>
      </c>
    </row>
    <row r="1799" spans="1:2" x14ac:dyDescent="0.25">
      <c r="A1799" t="s">
        <v>4</v>
      </c>
      <c r="B1799" t="s">
        <v>6</v>
      </c>
    </row>
    <row r="1801" spans="1:2" x14ac:dyDescent="0.25">
      <c r="A1801" t="s">
        <v>2</v>
      </c>
      <c r="B1801" t="s">
        <v>3</v>
      </c>
    </row>
    <row r="1803" spans="1:2" x14ac:dyDescent="0.25">
      <c r="A1803" t="s">
        <v>7</v>
      </c>
      <c r="B1803" t="s">
        <v>22</v>
      </c>
    </row>
    <row r="1805" spans="1:2" x14ac:dyDescent="0.25">
      <c r="A1805" t="s">
        <v>2</v>
      </c>
      <c r="B1805" t="s">
        <v>15</v>
      </c>
    </row>
    <row r="1807" spans="1:2" x14ac:dyDescent="0.25">
      <c r="A1807" t="s">
        <v>10</v>
      </c>
      <c r="B1807" t="s">
        <v>21</v>
      </c>
    </row>
    <row r="1809" spans="1:2" x14ac:dyDescent="0.25">
      <c r="A1809" t="s">
        <v>4</v>
      </c>
      <c r="B1809" t="s">
        <v>9</v>
      </c>
    </row>
    <row r="1811" spans="1:2" x14ac:dyDescent="0.25">
      <c r="A1811" t="s">
        <v>4</v>
      </c>
      <c r="B1811" t="s">
        <v>16</v>
      </c>
    </row>
    <row r="1813" spans="1:2" x14ac:dyDescent="0.25">
      <c r="A1813" t="s">
        <v>2</v>
      </c>
      <c r="B1813" t="s">
        <v>13</v>
      </c>
    </row>
    <row r="1816" spans="1:2" x14ac:dyDescent="0.25">
      <c r="A1816" t="s">
        <v>77</v>
      </c>
    </row>
    <row r="1818" spans="1:2" x14ac:dyDescent="0.25">
      <c r="A1818" t="s">
        <v>4</v>
      </c>
      <c r="B1818" t="s">
        <v>18</v>
      </c>
    </row>
    <row r="1820" spans="1:2" x14ac:dyDescent="0.25">
      <c r="A1820" t="s">
        <v>17</v>
      </c>
      <c r="B1820" t="s">
        <v>19</v>
      </c>
    </row>
    <row r="1822" spans="1:2" x14ac:dyDescent="0.25">
      <c r="A1822" t="s">
        <v>2</v>
      </c>
      <c r="B1822" t="s">
        <v>5</v>
      </c>
    </row>
    <row r="1824" spans="1:2" x14ac:dyDescent="0.25">
      <c r="A1824" t="s">
        <v>2</v>
      </c>
      <c r="B1824" t="s">
        <v>15</v>
      </c>
    </row>
    <row r="1826" spans="1:2" x14ac:dyDescent="0.25">
      <c r="A1826" t="s">
        <v>12</v>
      </c>
      <c r="B1826" t="s">
        <v>16</v>
      </c>
    </row>
    <row r="1828" spans="1:2" x14ac:dyDescent="0.25">
      <c r="A1828" t="s">
        <v>4</v>
      </c>
      <c r="B1828" t="s">
        <v>1</v>
      </c>
    </row>
    <row r="1830" spans="1:2" x14ac:dyDescent="0.25">
      <c r="A1830" t="s">
        <v>4</v>
      </c>
      <c r="B1830" t="s">
        <v>22</v>
      </c>
    </row>
    <row r="1832" spans="1:2" x14ac:dyDescent="0.25">
      <c r="A1832" t="s">
        <v>4</v>
      </c>
      <c r="B1832" t="s">
        <v>14</v>
      </c>
    </row>
    <row r="1834" spans="1:2" x14ac:dyDescent="0.25">
      <c r="A1834" t="s">
        <v>2</v>
      </c>
      <c r="B1834" t="s">
        <v>3</v>
      </c>
    </row>
    <row r="1836" spans="1:2" x14ac:dyDescent="0.25">
      <c r="A1836" t="s">
        <v>20</v>
      </c>
      <c r="B1836" t="s">
        <v>9</v>
      </c>
    </row>
    <row r="1838" spans="1:2" x14ac:dyDescent="0.25">
      <c r="A1838" t="s">
        <v>2</v>
      </c>
      <c r="B1838" t="s">
        <v>13</v>
      </c>
    </row>
    <row r="1840" spans="1:2" x14ac:dyDescent="0.25">
      <c r="A1840" t="s">
        <v>4</v>
      </c>
      <c r="B1840" t="s">
        <v>21</v>
      </c>
    </row>
    <row r="1842" spans="1:2" x14ac:dyDescent="0.25">
      <c r="A1842" t="s">
        <v>2</v>
      </c>
      <c r="B1842" t="s">
        <v>8</v>
      </c>
    </row>
    <row r="1844" spans="1:2" x14ac:dyDescent="0.25">
      <c r="A1844" t="s">
        <v>10</v>
      </c>
      <c r="B1844" t="s">
        <v>11</v>
      </c>
    </row>
    <row r="1846" spans="1:2" x14ac:dyDescent="0.25">
      <c r="A1846" t="s">
        <v>7</v>
      </c>
      <c r="B1846" t="s">
        <v>6</v>
      </c>
    </row>
    <row r="1849" spans="1:2" x14ac:dyDescent="0.25">
      <c r="A1849" t="s">
        <v>78</v>
      </c>
    </row>
    <row r="1851" spans="1:2" x14ac:dyDescent="0.25">
      <c r="A1851" t="s">
        <v>12</v>
      </c>
      <c r="B1851" t="s">
        <v>9</v>
      </c>
    </row>
    <row r="1853" spans="1:2" x14ac:dyDescent="0.25">
      <c r="A1853" t="s">
        <v>2</v>
      </c>
      <c r="B1853" t="s">
        <v>13</v>
      </c>
    </row>
    <row r="1855" spans="1:2" x14ac:dyDescent="0.25">
      <c r="A1855" t="s">
        <v>4</v>
      </c>
      <c r="B1855" t="s">
        <v>22</v>
      </c>
    </row>
    <row r="1857" spans="1:2" x14ac:dyDescent="0.25">
      <c r="A1857" t="s">
        <v>10</v>
      </c>
      <c r="B1857" t="s">
        <v>19</v>
      </c>
    </row>
    <row r="1859" spans="1:2" x14ac:dyDescent="0.25">
      <c r="A1859" t="s">
        <v>2</v>
      </c>
      <c r="B1859" t="s">
        <v>5</v>
      </c>
    </row>
    <row r="1861" spans="1:2" x14ac:dyDescent="0.25">
      <c r="A1861" t="s">
        <v>2</v>
      </c>
      <c r="B1861" t="s">
        <v>3</v>
      </c>
    </row>
    <row r="1863" spans="1:2" x14ac:dyDescent="0.25">
      <c r="A1863" t="s">
        <v>20</v>
      </c>
      <c r="B1863" t="s">
        <v>6</v>
      </c>
    </row>
    <row r="1865" spans="1:2" x14ac:dyDescent="0.25">
      <c r="A1865" t="s">
        <v>17</v>
      </c>
      <c r="B1865" t="s">
        <v>11</v>
      </c>
    </row>
    <row r="1867" spans="1:2" x14ac:dyDescent="0.25">
      <c r="A1867" t="s">
        <v>2</v>
      </c>
      <c r="B1867" t="s">
        <v>8</v>
      </c>
    </row>
    <row r="1869" spans="1:2" x14ac:dyDescent="0.25">
      <c r="A1869" t="s">
        <v>4</v>
      </c>
      <c r="B1869" t="s">
        <v>14</v>
      </c>
    </row>
    <row r="1871" spans="1:2" x14ac:dyDescent="0.25">
      <c r="A1871" t="s">
        <v>4</v>
      </c>
      <c r="B1871" t="s">
        <v>21</v>
      </c>
    </row>
    <row r="1873" spans="1:2" x14ac:dyDescent="0.25">
      <c r="A1873" t="s">
        <v>2</v>
      </c>
      <c r="B1873" t="s">
        <v>15</v>
      </c>
    </row>
    <row r="1875" spans="1:2" x14ac:dyDescent="0.25">
      <c r="A1875" t="s">
        <v>4</v>
      </c>
      <c r="B1875" t="s">
        <v>18</v>
      </c>
    </row>
    <row r="1877" spans="1:2" x14ac:dyDescent="0.25">
      <c r="A1877" t="s">
        <v>4</v>
      </c>
      <c r="B1877" t="s">
        <v>1</v>
      </c>
    </row>
    <row r="1879" spans="1:2" x14ac:dyDescent="0.25">
      <c r="A1879" t="s">
        <v>7</v>
      </c>
      <c r="B1879" t="s">
        <v>16</v>
      </c>
    </row>
    <row r="1882" spans="1:2" x14ac:dyDescent="0.25">
      <c r="A1882" t="s">
        <v>79</v>
      </c>
    </row>
    <row r="1884" spans="1:2" x14ac:dyDescent="0.25">
      <c r="A1884" t="s">
        <v>10</v>
      </c>
      <c r="B1884" t="s">
        <v>9</v>
      </c>
    </row>
    <row r="1886" spans="1:2" x14ac:dyDescent="0.25">
      <c r="A1886" t="s">
        <v>4</v>
      </c>
      <c r="B1886" t="s">
        <v>5</v>
      </c>
    </row>
    <row r="1888" spans="1:2" x14ac:dyDescent="0.25">
      <c r="A1888" t="s">
        <v>4</v>
      </c>
      <c r="B1888" t="s">
        <v>13</v>
      </c>
    </row>
    <row r="1890" spans="1:2" x14ac:dyDescent="0.25">
      <c r="A1890" t="s">
        <v>2</v>
      </c>
      <c r="B1890" t="s">
        <v>1</v>
      </c>
    </row>
    <row r="1892" spans="1:2" x14ac:dyDescent="0.25">
      <c r="A1892" t="s">
        <v>2</v>
      </c>
      <c r="B1892" t="s">
        <v>18</v>
      </c>
    </row>
    <row r="1894" spans="1:2" x14ac:dyDescent="0.25">
      <c r="A1894" t="s">
        <v>2</v>
      </c>
      <c r="B1894" t="s">
        <v>21</v>
      </c>
    </row>
    <row r="1896" spans="1:2" x14ac:dyDescent="0.25">
      <c r="A1896" t="s">
        <v>20</v>
      </c>
      <c r="B1896" t="s">
        <v>16</v>
      </c>
    </row>
    <row r="1898" spans="1:2" x14ac:dyDescent="0.25">
      <c r="A1898" t="s">
        <v>2</v>
      </c>
      <c r="B1898" t="s">
        <v>22</v>
      </c>
    </row>
    <row r="1900" spans="1:2" x14ac:dyDescent="0.25">
      <c r="A1900" t="s">
        <v>12</v>
      </c>
      <c r="B1900" t="s">
        <v>11</v>
      </c>
    </row>
    <row r="1902" spans="1:2" x14ac:dyDescent="0.25">
      <c r="A1902" t="s">
        <v>4</v>
      </c>
      <c r="B1902" t="s">
        <v>3</v>
      </c>
    </row>
    <row r="1904" spans="1:2" x14ac:dyDescent="0.25">
      <c r="A1904" t="s">
        <v>17</v>
      </c>
      <c r="B1904" t="s">
        <v>6</v>
      </c>
    </row>
    <row r="1906" spans="1:2" x14ac:dyDescent="0.25">
      <c r="A1906" t="s">
        <v>2</v>
      </c>
      <c r="B1906" t="s">
        <v>14</v>
      </c>
    </row>
    <row r="1908" spans="1:2" x14ac:dyDescent="0.25">
      <c r="A1908" t="s">
        <v>7</v>
      </c>
      <c r="B1908" t="s">
        <v>19</v>
      </c>
    </row>
    <row r="1910" spans="1:2" x14ac:dyDescent="0.25">
      <c r="A1910" t="s">
        <v>4</v>
      </c>
      <c r="B1910" t="s">
        <v>15</v>
      </c>
    </row>
    <row r="1912" spans="1:2" x14ac:dyDescent="0.25">
      <c r="A1912" t="s">
        <v>4</v>
      </c>
      <c r="B1912" t="s">
        <v>8</v>
      </c>
    </row>
    <row r="1915" spans="1:2" x14ac:dyDescent="0.25">
      <c r="A1915" t="s">
        <v>80</v>
      </c>
    </row>
    <row r="1917" spans="1:2" x14ac:dyDescent="0.25">
      <c r="A1917" t="s">
        <v>4</v>
      </c>
      <c r="B1917" t="s">
        <v>8</v>
      </c>
    </row>
    <row r="1919" spans="1:2" x14ac:dyDescent="0.25">
      <c r="A1919" t="s">
        <v>4</v>
      </c>
      <c r="B1919" t="s">
        <v>5</v>
      </c>
    </row>
    <row r="1921" spans="1:2" x14ac:dyDescent="0.25">
      <c r="A1921" t="s">
        <v>4</v>
      </c>
      <c r="B1921" t="s">
        <v>15</v>
      </c>
    </row>
    <row r="1923" spans="1:2" x14ac:dyDescent="0.25">
      <c r="A1923" t="s">
        <v>7</v>
      </c>
      <c r="B1923" t="s">
        <v>14</v>
      </c>
    </row>
    <row r="1925" spans="1:2" x14ac:dyDescent="0.25">
      <c r="A1925" t="s">
        <v>17</v>
      </c>
      <c r="B1925" t="s">
        <v>22</v>
      </c>
    </row>
    <row r="1927" spans="1:2" x14ac:dyDescent="0.25">
      <c r="A1927" t="s">
        <v>4</v>
      </c>
      <c r="B1927" t="s">
        <v>3</v>
      </c>
    </row>
    <row r="1929" spans="1:2" x14ac:dyDescent="0.25">
      <c r="A1929" t="s">
        <v>2</v>
      </c>
      <c r="B1929" t="s">
        <v>11</v>
      </c>
    </row>
    <row r="1931" spans="1:2" x14ac:dyDescent="0.25">
      <c r="A1931" t="s">
        <v>2</v>
      </c>
      <c r="B1931" t="s">
        <v>19</v>
      </c>
    </row>
    <row r="1933" spans="1:2" x14ac:dyDescent="0.25">
      <c r="A1933" t="s">
        <v>2</v>
      </c>
      <c r="B1933" t="s">
        <v>6</v>
      </c>
    </row>
    <row r="1935" spans="1:2" x14ac:dyDescent="0.25">
      <c r="A1935" t="s">
        <v>4</v>
      </c>
      <c r="B1935" t="s">
        <v>13</v>
      </c>
    </row>
    <row r="1937" spans="1:2" x14ac:dyDescent="0.25">
      <c r="A1937" t="s">
        <v>10</v>
      </c>
      <c r="B1937" t="s">
        <v>18</v>
      </c>
    </row>
    <row r="1939" spans="1:2" x14ac:dyDescent="0.25">
      <c r="A1939" t="s">
        <v>2</v>
      </c>
      <c r="B1939" t="s">
        <v>9</v>
      </c>
    </row>
    <row r="1941" spans="1:2" x14ac:dyDescent="0.25">
      <c r="A1941" t="s">
        <v>2</v>
      </c>
      <c r="B1941" t="s">
        <v>16</v>
      </c>
    </row>
    <row r="1943" spans="1:2" x14ac:dyDescent="0.25">
      <c r="A1943" t="s">
        <v>20</v>
      </c>
      <c r="B1943" t="s">
        <v>21</v>
      </c>
    </row>
    <row r="1945" spans="1:2" x14ac:dyDescent="0.25">
      <c r="A1945" t="s">
        <v>12</v>
      </c>
      <c r="B1945" t="s">
        <v>1</v>
      </c>
    </row>
    <row r="1948" spans="1:2" x14ac:dyDescent="0.25">
      <c r="A1948" t="s">
        <v>81</v>
      </c>
    </row>
    <row r="1950" spans="1:2" x14ac:dyDescent="0.25">
      <c r="A1950" t="s">
        <v>10</v>
      </c>
      <c r="B1950" t="s">
        <v>5</v>
      </c>
    </row>
    <row r="1952" spans="1:2" x14ac:dyDescent="0.25">
      <c r="A1952" t="s">
        <v>17</v>
      </c>
      <c r="B1952" t="s">
        <v>3</v>
      </c>
    </row>
    <row r="1954" spans="1:2" x14ac:dyDescent="0.25">
      <c r="A1954" t="s">
        <v>2</v>
      </c>
      <c r="B1954" t="s">
        <v>18</v>
      </c>
    </row>
    <row r="1956" spans="1:2" x14ac:dyDescent="0.25">
      <c r="A1956" t="s">
        <v>12</v>
      </c>
      <c r="B1956" t="s">
        <v>15</v>
      </c>
    </row>
    <row r="1958" spans="1:2" x14ac:dyDescent="0.25">
      <c r="A1958" t="s">
        <v>20</v>
      </c>
      <c r="B1958" t="s">
        <v>13</v>
      </c>
    </row>
    <row r="1960" spans="1:2" x14ac:dyDescent="0.25">
      <c r="A1960" t="s">
        <v>2</v>
      </c>
      <c r="B1960" t="s">
        <v>22</v>
      </c>
    </row>
    <row r="1962" spans="1:2" x14ac:dyDescent="0.25">
      <c r="A1962" t="s">
        <v>2</v>
      </c>
      <c r="B1962" t="s">
        <v>1</v>
      </c>
    </row>
    <row r="1964" spans="1:2" x14ac:dyDescent="0.25">
      <c r="A1964" t="s">
        <v>4</v>
      </c>
      <c r="B1964" t="s">
        <v>19</v>
      </c>
    </row>
    <row r="1966" spans="1:2" x14ac:dyDescent="0.25">
      <c r="A1966" t="s">
        <v>2</v>
      </c>
      <c r="B1966" t="s">
        <v>21</v>
      </c>
    </row>
    <row r="1968" spans="1:2" x14ac:dyDescent="0.25">
      <c r="A1968" t="s">
        <v>4</v>
      </c>
      <c r="B1968" t="s">
        <v>11</v>
      </c>
    </row>
    <row r="1970" spans="1:2" x14ac:dyDescent="0.25">
      <c r="A1970" t="s">
        <v>4</v>
      </c>
      <c r="B1970" t="s">
        <v>9</v>
      </c>
    </row>
    <row r="1972" spans="1:2" x14ac:dyDescent="0.25">
      <c r="A1972" t="s">
        <v>2</v>
      </c>
      <c r="B1972" t="s">
        <v>14</v>
      </c>
    </row>
    <row r="1974" spans="1:2" x14ac:dyDescent="0.25">
      <c r="A1974" t="s">
        <v>4</v>
      </c>
      <c r="B1974" t="s">
        <v>16</v>
      </c>
    </row>
    <row r="1976" spans="1:2" x14ac:dyDescent="0.25">
      <c r="A1976" t="s">
        <v>7</v>
      </c>
      <c r="B1976" t="s">
        <v>8</v>
      </c>
    </row>
    <row r="1978" spans="1:2" x14ac:dyDescent="0.25">
      <c r="A1978" t="s">
        <v>4</v>
      </c>
      <c r="B1978" t="s">
        <v>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978"/>
  <sheetViews>
    <sheetView workbookViewId="0">
      <selection activeCell="C1" sqref="C1:C1048576"/>
    </sheetView>
  </sheetViews>
  <sheetFormatPr defaultRowHeight="15" x14ac:dyDescent="0.25"/>
  <cols>
    <col min="1" max="1" width="20.28515625" customWidth="1"/>
  </cols>
  <sheetData>
    <row r="1" spans="1:12" x14ac:dyDescent="0.25">
      <c r="A1" t="s">
        <v>0</v>
      </c>
      <c r="C1" t="str">
        <f>IF(COUNTIF(A1:A33,"LAUNCH1.vbs"),"launch1","-")&amp;IF(COUNTIF(A1:A33,"LAUNCH2.vbs"),"launch2","-")&amp;IF(COUNTIF(A1:A33,"LAUNCH3.vbs"),"launch3","-")&amp;IF(COUNTIF(A1:A33,"LAUNCH4.vbs"),"launch4","-")&amp;IF(COUNTIF(A1:A33,"LAUNCH5.vbs"),"launch5","-")</f>
        <v>launch1launch2launch3launch4launch5</v>
      </c>
    </row>
    <row r="3" spans="1:12" x14ac:dyDescent="0.25">
      <c r="A3" t="s">
        <v>2</v>
      </c>
      <c r="B3" t="s">
        <v>1</v>
      </c>
    </row>
    <row r="4" spans="1:12" x14ac:dyDescent="0.25">
      <c r="C4" t="str">
        <f>IF(COUNTIF(A4:A36,"LAUNCH1.vbs"),"launch1","-")&amp;IF(COUNTIF(A4:A36,"LAUNCH2.vbs"),"launch2","-")&amp;IF(COUNTIF(A4:A36,"LAUNCH3.vbs"),"launch3","-")&amp;IF(COUNTIF(A4:A36,"LAUNCH4.vbs"),"launch4","-")&amp;IF(COUNTIF(A4:A36,"LAUNCH5.vbs"),"launch5","-")</f>
        <v>launch1launch2launch3launch4launch5</v>
      </c>
    </row>
    <row r="5" spans="1:12" x14ac:dyDescent="0.25">
      <c r="A5" t="s">
        <v>4</v>
      </c>
      <c r="B5" t="s">
        <v>3</v>
      </c>
    </row>
    <row r="7" spans="1:12" x14ac:dyDescent="0.25">
      <c r="A7" t="s">
        <v>4</v>
      </c>
      <c r="B7" t="s">
        <v>5</v>
      </c>
      <c r="L7" t="str">
        <f>IF(ISNUMBER(FIND(A1:A18,"launch1.vbs")),"launch1")&amp;IF(ISNUMBER(FIND(A1:A18,"launch2.vbs")),"launch2")&amp;IF(ISNUMBER(FIND(A1:A18,"launch3.vbs")),"launch3")&amp;IF(ISNUMBER(FIND(A1:A18,"launch4.vbs")),"launch4")&amp;IF(ISNUMBER(FIND(A1:A18,"launch5.vbs")),"launch5")</f>
        <v>FALSEFALSEFALSEFALSEFALSE</v>
      </c>
    </row>
    <row r="9" spans="1:12" x14ac:dyDescent="0.25">
      <c r="A9" t="s">
        <v>7</v>
      </c>
      <c r="B9" t="s">
        <v>6</v>
      </c>
    </row>
    <row r="11" spans="1:12" x14ac:dyDescent="0.25">
      <c r="A11" t="s">
        <v>4</v>
      </c>
      <c r="B11" t="s">
        <v>8</v>
      </c>
    </row>
    <row r="12" spans="1:12" x14ac:dyDescent="0.25">
      <c r="D12" s="2"/>
    </row>
    <row r="13" spans="1:12" x14ac:dyDescent="0.25">
      <c r="A13" t="s">
        <v>10</v>
      </c>
      <c r="B13" t="s">
        <v>9</v>
      </c>
    </row>
    <row r="15" spans="1:12" x14ac:dyDescent="0.25">
      <c r="A15" t="s">
        <v>12</v>
      </c>
      <c r="B15" t="s">
        <v>11</v>
      </c>
    </row>
    <row r="17" spans="1:2" x14ac:dyDescent="0.25">
      <c r="A17" t="s">
        <v>4</v>
      </c>
      <c r="B17" t="s">
        <v>13</v>
      </c>
    </row>
    <row r="19" spans="1:2" x14ac:dyDescent="0.25">
      <c r="A19" t="s">
        <v>2</v>
      </c>
      <c r="B19" t="s">
        <v>14</v>
      </c>
    </row>
    <row r="21" spans="1:2" x14ac:dyDescent="0.25">
      <c r="A21" t="s">
        <v>4</v>
      </c>
      <c r="B21" t="s">
        <v>15</v>
      </c>
    </row>
    <row r="23" spans="1:2" x14ac:dyDescent="0.25">
      <c r="A23" t="s">
        <v>17</v>
      </c>
      <c r="B23" t="s">
        <v>16</v>
      </c>
    </row>
    <row r="25" spans="1:2" x14ac:dyDescent="0.25">
      <c r="A25" t="s">
        <v>2</v>
      </c>
      <c r="B25" t="s">
        <v>18</v>
      </c>
    </row>
    <row r="27" spans="1:2" x14ac:dyDescent="0.25">
      <c r="A27" t="s">
        <v>20</v>
      </c>
      <c r="B27" t="s">
        <v>19</v>
      </c>
    </row>
    <row r="29" spans="1:2" x14ac:dyDescent="0.25">
      <c r="A29" t="s">
        <v>2</v>
      </c>
      <c r="B29" t="s">
        <v>21</v>
      </c>
    </row>
    <row r="31" spans="1:2" x14ac:dyDescent="0.25">
      <c r="A31" t="s">
        <v>2</v>
      </c>
      <c r="B31" t="s">
        <v>22</v>
      </c>
    </row>
    <row r="34" spans="1:3" x14ac:dyDescent="0.25">
      <c r="A34" t="s">
        <v>23</v>
      </c>
      <c r="C34" t="str">
        <f>IF(COUNTIF(A34:A66,"LAUNCH1.vbs"),"launch1","-")&amp;IF(COUNTIF(A34:A66,"LAUNCH2.vbs"),"launch2","-")&amp;IF(COUNTIF(A34:A66,"LAUNCH3.vbs"),"launch3","-")&amp;IF(COUNTIF(A34:A66,"LAUNCH4.vbs"),"launch4","-")&amp;IF(COUNTIF(A34:A66,"LAUNCH5.vbs"),"launch5","-")</f>
        <v>launch1launch2launch3launch4launch5</v>
      </c>
    </row>
    <row r="36" spans="1:3" x14ac:dyDescent="0.25">
      <c r="A36" t="s">
        <v>2</v>
      </c>
    </row>
    <row r="38" spans="1:3" x14ac:dyDescent="0.25">
      <c r="A38" t="s">
        <v>4</v>
      </c>
      <c r="B38" t="s">
        <v>9</v>
      </c>
    </row>
    <row r="40" spans="1:3" x14ac:dyDescent="0.25">
      <c r="A40" t="s">
        <v>4</v>
      </c>
      <c r="B40" t="s">
        <v>14</v>
      </c>
    </row>
    <row r="41" spans="1:3" x14ac:dyDescent="0.25">
      <c r="B41" t="s">
        <v>21</v>
      </c>
    </row>
    <row r="42" spans="1:3" x14ac:dyDescent="0.25">
      <c r="A42" t="s">
        <v>7</v>
      </c>
    </row>
    <row r="43" spans="1:3" x14ac:dyDescent="0.25">
      <c r="B43" t="s">
        <v>13</v>
      </c>
    </row>
    <row r="44" spans="1:3" x14ac:dyDescent="0.25">
      <c r="A44" t="s">
        <v>2</v>
      </c>
      <c r="B44" t="s">
        <v>19</v>
      </c>
    </row>
    <row r="46" spans="1:3" x14ac:dyDescent="0.25">
      <c r="A46" t="s">
        <v>20</v>
      </c>
      <c r="B46" t="s">
        <v>3</v>
      </c>
    </row>
    <row r="48" spans="1:3" x14ac:dyDescent="0.25">
      <c r="A48" t="s">
        <v>2</v>
      </c>
      <c r="B48" t="s">
        <v>6</v>
      </c>
    </row>
    <row r="50" spans="1:2" x14ac:dyDescent="0.25">
      <c r="A50" t="s">
        <v>4</v>
      </c>
      <c r="B50" t="s">
        <v>1</v>
      </c>
    </row>
    <row r="52" spans="1:2" x14ac:dyDescent="0.25">
      <c r="A52" t="s">
        <v>17</v>
      </c>
      <c r="B52" t="s">
        <v>5</v>
      </c>
    </row>
    <row r="54" spans="1:2" x14ac:dyDescent="0.25">
      <c r="A54" t="s">
        <v>12</v>
      </c>
      <c r="B54" t="s">
        <v>8</v>
      </c>
    </row>
    <row r="56" spans="1:2" x14ac:dyDescent="0.25">
      <c r="A56" t="s">
        <v>10</v>
      </c>
      <c r="B56" t="s">
        <v>15</v>
      </c>
    </row>
    <row r="58" spans="1:2" x14ac:dyDescent="0.25">
      <c r="A58" t="s">
        <v>2</v>
      </c>
      <c r="B58" t="s">
        <v>16</v>
      </c>
    </row>
    <row r="60" spans="1:2" x14ac:dyDescent="0.25">
      <c r="A60" t="s">
        <v>4</v>
      </c>
      <c r="B60" t="s">
        <v>22</v>
      </c>
    </row>
    <row r="62" spans="1:2" x14ac:dyDescent="0.25">
      <c r="A62" t="s">
        <v>2</v>
      </c>
      <c r="B62" t="s">
        <v>11</v>
      </c>
    </row>
    <row r="64" spans="1:2" x14ac:dyDescent="0.25">
      <c r="A64" t="s">
        <v>4</v>
      </c>
      <c r="B64" t="s">
        <v>18</v>
      </c>
    </row>
    <row r="67" spans="1:3" x14ac:dyDescent="0.25">
      <c r="A67" t="s">
        <v>24</v>
      </c>
      <c r="C67" t="str">
        <f>IF(COUNTIF(A67:A99,"LAUNCH1.vbs"),"launch1","-")&amp;IF(COUNTIF(A67:A99,"LAUNCH2.vbs"),"launch2","-")&amp;IF(COUNTIF(A67:A99,"LAUNCH3.vbs"),"launch3","-")&amp;IF(COUNTIF(A67:A99,"LAUNCH4.vbs"),"launch4","-")&amp;IF(COUNTIF(A67:A99,"LAUNCH5.vbs"),"launch5","-")</f>
        <v>launch1launch2launch3launch4launch5</v>
      </c>
    </row>
    <row r="69" spans="1:3" x14ac:dyDescent="0.25">
      <c r="A69" t="s">
        <v>2</v>
      </c>
      <c r="B69" t="s">
        <v>8</v>
      </c>
    </row>
    <row r="71" spans="1:3" x14ac:dyDescent="0.25">
      <c r="A71" t="s">
        <v>2</v>
      </c>
      <c r="B71" t="s">
        <v>15</v>
      </c>
    </row>
    <row r="73" spans="1:3" x14ac:dyDescent="0.25">
      <c r="A73" t="s">
        <v>4</v>
      </c>
      <c r="B73" t="s">
        <v>6</v>
      </c>
    </row>
    <row r="75" spans="1:3" x14ac:dyDescent="0.25">
      <c r="A75" t="s">
        <v>4</v>
      </c>
      <c r="B75" t="s">
        <v>19</v>
      </c>
    </row>
    <row r="77" spans="1:3" x14ac:dyDescent="0.25">
      <c r="A77" t="s">
        <v>4</v>
      </c>
      <c r="B77" t="s">
        <v>11</v>
      </c>
    </row>
    <row r="79" spans="1:3" x14ac:dyDescent="0.25">
      <c r="A79" t="s">
        <v>12</v>
      </c>
      <c r="B79" t="s">
        <v>22</v>
      </c>
    </row>
    <row r="81" spans="1:2" x14ac:dyDescent="0.25">
      <c r="A81" t="s">
        <v>7</v>
      </c>
      <c r="B81" t="s">
        <v>21</v>
      </c>
    </row>
    <row r="83" spans="1:2" x14ac:dyDescent="0.25">
      <c r="A83" t="s">
        <v>2</v>
      </c>
      <c r="B83" t="s">
        <v>3</v>
      </c>
    </row>
    <row r="85" spans="1:2" x14ac:dyDescent="0.25">
      <c r="A85" t="s">
        <v>4</v>
      </c>
      <c r="B85" t="s">
        <v>16</v>
      </c>
    </row>
    <row r="87" spans="1:2" x14ac:dyDescent="0.25">
      <c r="A87" t="s">
        <v>2</v>
      </c>
      <c r="B87" t="s">
        <v>13</v>
      </c>
    </row>
    <row r="89" spans="1:2" x14ac:dyDescent="0.25">
      <c r="A89" t="s">
        <v>20</v>
      </c>
      <c r="B89" t="s">
        <v>1</v>
      </c>
    </row>
    <row r="91" spans="1:2" x14ac:dyDescent="0.25">
      <c r="A91" t="s">
        <v>10</v>
      </c>
      <c r="B91" t="s">
        <v>14</v>
      </c>
    </row>
    <row r="93" spans="1:2" x14ac:dyDescent="0.25">
      <c r="A93" t="s">
        <v>4</v>
      </c>
      <c r="B93" t="s">
        <v>9</v>
      </c>
    </row>
    <row r="95" spans="1:2" x14ac:dyDescent="0.25">
      <c r="A95" t="s">
        <v>17</v>
      </c>
      <c r="B95" t="s">
        <v>18</v>
      </c>
    </row>
    <row r="97" spans="1:3" x14ac:dyDescent="0.25">
      <c r="A97" t="s">
        <v>2</v>
      </c>
      <c r="B97" t="s">
        <v>5</v>
      </c>
    </row>
    <row r="100" spans="1:3" x14ac:dyDescent="0.25">
      <c r="A100" t="s">
        <v>25</v>
      </c>
      <c r="C100" t="str">
        <f>IF(COUNTIF(A100:A132,"LAUNCH1.vbs"),"launch1","-")&amp;IF(COUNTIF(A100:A132,"LAUNCH2.vbs"),"launch2","-")&amp;IF(COUNTIF(A100:A132,"LAUNCH3.vbs"),"launch3","-")&amp;IF(COUNTIF(A100:A132,"LAUNCH4.vbs"),"launch4","-")&amp;IF(COUNTIF(A100:A132,"LAUNCH5.vbs"),"launch5","-")</f>
        <v>launch1launch2launch3launch4launch5</v>
      </c>
    </row>
    <row r="102" spans="1:3" x14ac:dyDescent="0.25">
      <c r="A102" t="s">
        <v>10</v>
      </c>
      <c r="B102" t="s">
        <v>19</v>
      </c>
    </row>
    <row r="104" spans="1:3" x14ac:dyDescent="0.25">
      <c r="A104" t="s">
        <v>20</v>
      </c>
      <c r="B104" t="s">
        <v>6</v>
      </c>
    </row>
    <row r="106" spans="1:3" x14ac:dyDescent="0.25">
      <c r="A106" t="s">
        <v>17</v>
      </c>
      <c r="B106" t="s">
        <v>11</v>
      </c>
    </row>
    <row r="108" spans="1:3" x14ac:dyDescent="0.25">
      <c r="A108" t="s">
        <v>4</v>
      </c>
      <c r="B108" t="s">
        <v>14</v>
      </c>
    </row>
    <row r="110" spans="1:3" x14ac:dyDescent="0.25">
      <c r="A110" t="s">
        <v>2</v>
      </c>
      <c r="B110" t="s">
        <v>5</v>
      </c>
    </row>
    <row r="112" spans="1:3" x14ac:dyDescent="0.25">
      <c r="A112" t="s">
        <v>4</v>
      </c>
      <c r="B112" t="s">
        <v>21</v>
      </c>
    </row>
    <row r="114" spans="1:2" x14ac:dyDescent="0.25">
      <c r="A114" t="s">
        <v>12</v>
      </c>
      <c r="B114" t="s">
        <v>16</v>
      </c>
    </row>
    <row r="116" spans="1:2" x14ac:dyDescent="0.25">
      <c r="A116" t="s">
        <v>4</v>
      </c>
      <c r="B116" t="s">
        <v>22</v>
      </c>
    </row>
    <row r="118" spans="1:2" x14ac:dyDescent="0.25">
      <c r="A118" t="s">
        <v>7</v>
      </c>
      <c r="B118" t="s">
        <v>9</v>
      </c>
    </row>
    <row r="120" spans="1:2" x14ac:dyDescent="0.25">
      <c r="A120" t="s">
        <v>2</v>
      </c>
      <c r="B120" t="s">
        <v>15</v>
      </c>
    </row>
    <row r="122" spans="1:2" x14ac:dyDescent="0.25">
      <c r="A122" t="s">
        <v>2</v>
      </c>
      <c r="B122" t="s">
        <v>8</v>
      </c>
    </row>
    <row r="124" spans="1:2" x14ac:dyDescent="0.25">
      <c r="A124" t="s">
        <v>2</v>
      </c>
      <c r="B124" t="s">
        <v>3</v>
      </c>
    </row>
    <row r="126" spans="1:2" x14ac:dyDescent="0.25">
      <c r="A126" t="s">
        <v>2</v>
      </c>
      <c r="B126" t="s">
        <v>13</v>
      </c>
    </row>
    <row r="128" spans="1:2" x14ac:dyDescent="0.25">
      <c r="A128" t="s">
        <v>4</v>
      </c>
      <c r="B128" t="s">
        <v>18</v>
      </c>
    </row>
    <row r="130" spans="1:3" x14ac:dyDescent="0.25">
      <c r="A130" t="s">
        <v>4</v>
      </c>
      <c r="B130" t="s">
        <v>1</v>
      </c>
    </row>
    <row r="133" spans="1:3" x14ac:dyDescent="0.25">
      <c r="A133" t="s">
        <v>26</v>
      </c>
      <c r="C133" t="str">
        <f>IF(COUNTIF(A133:A165,"LAUNCH1.vbs"),"launch1","-")&amp;IF(COUNTIF(A133:A165,"LAUNCH2.vbs"),"launch2","-")&amp;IF(COUNTIF(A133:A165,"LAUNCH3.vbs"),"launch3","-")&amp;IF(COUNTIF(A133:A165,"LAUNCH4.vbs"),"launch4","-")&amp;IF(COUNTIF(A133:A165,"LAUNCH5.vbs"),"launch5","-")</f>
        <v>launch1launch2launch3launch4launch5</v>
      </c>
    </row>
    <row r="135" spans="1:3" x14ac:dyDescent="0.25">
      <c r="A135" t="s">
        <v>4</v>
      </c>
      <c r="B135" t="s">
        <v>15</v>
      </c>
    </row>
    <row r="137" spans="1:3" x14ac:dyDescent="0.25">
      <c r="A137" t="s">
        <v>2</v>
      </c>
      <c r="B137" t="s">
        <v>18</v>
      </c>
    </row>
    <row r="139" spans="1:3" x14ac:dyDescent="0.25">
      <c r="A139" t="s">
        <v>2</v>
      </c>
      <c r="B139" t="s">
        <v>14</v>
      </c>
    </row>
    <row r="141" spans="1:3" x14ac:dyDescent="0.25">
      <c r="A141" t="s">
        <v>17</v>
      </c>
      <c r="B141" t="s">
        <v>11</v>
      </c>
    </row>
    <row r="143" spans="1:3" x14ac:dyDescent="0.25">
      <c r="A143" t="s">
        <v>4</v>
      </c>
      <c r="B143" t="s">
        <v>5</v>
      </c>
    </row>
    <row r="145" spans="1:2" x14ac:dyDescent="0.25">
      <c r="A145" t="s">
        <v>2</v>
      </c>
      <c r="B145" t="s">
        <v>1</v>
      </c>
    </row>
    <row r="147" spans="1:2" x14ac:dyDescent="0.25">
      <c r="A147" t="s">
        <v>4</v>
      </c>
      <c r="B147" t="s">
        <v>13</v>
      </c>
    </row>
    <row r="149" spans="1:2" x14ac:dyDescent="0.25">
      <c r="A149" t="s">
        <v>2</v>
      </c>
      <c r="B149" t="s">
        <v>21</v>
      </c>
    </row>
    <row r="151" spans="1:2" x14ac:dyDescent="0.25">
      <c r="A151" t="s">
        <v>2</v>
      </c>
      <c r="B151" t="s">
        <v>22</v>
      </c>
    </row>
    <row r="153" spans="1:2" x14ac:dyDescent="0.25">
      <c r="A153" t="s">
        <v>20</v>
      </c>
      <c r="B153" t="s">
        <v>16</v>
      </c>
    </row>
    <row r="155" spans="1:2" x14ac:dyDescent="0.25">
      <c r="A155" t="s">
        <v>7</v>
      </c>
      <c r="B155" t="s">
        <v>9</v>
      </c>
    </row>
    <row r="157" spans="1:2" x14ac:dyDescent="0.25">
      <c r="A157" t="s">
        <v>4</v>
      </c>
      <c r="B157" t="s">
        <v>3</v>
      </c>
    </row>
    <row r="159" spans="1:2" x14ac:dyDescent="0.25">
      <c r="A159" t="s">
        <v>10</v>
      </c>
      <c r="B159" t="s">
        <v>19</v>
      </c>
    </row>
    <row r="161" spans="1:3" x14ac:dyDescent="0.25">
      <c r="A161" t="s">
        <v>4</v>
      </c>
      <c r="B161" t="s">
        <v>8</v>
      </c>
    </row>
    <row r="163" spans="1:3" x14ac:dyDescent="0.25">
      <c r="A163" t="s">
        <v>12</v>
      </c>
      <c r="B163" t="s">
        <v>6</v>
      </c>
    </row>
    <row r="166" spans="1:3" x14ac:dyDescent="0.25">
      <c r="A166" t="s">
        <v>27</v>
      </c>
      <c r="C166" t="str">
        <f>IF(COUNTIF(A166:A198,"LAUNCH1.vbs"),"launch1","-")&amp;IF(COUNTIF(A166:A198,"LAUNCH2.vbs"),"launch2","-")&amp;IF(COUNTIF(A166:A198,"LAUNCH3.vbs"),"launch3","-")&amp;IF(COUNTIF(A166:A198,"LAUNCH4.vbs"),"launch4","-")&amp;IF(COUNTIF(A166:A198,"LAUNCH5.vbs"),"launch5","-")</f>
        <v>launch1launch2launch3launch4launch5</v>
      </c>
    </row>
    <row r="168" spans="1:3" x14ac:dyDescent="0.25">
      <c r="A168" t="s">
        <v>17</v>
      </c>
      <c r="B168" t="s">
        <v>22</v>
      </c>
    </row>
    <row r="170" spans="1:3" x14ac:dyDescent="0.25">
      <c r="A170" t="s">
        <v>4</v>
      </c>
      <c r="B170" t="s">
        <v>13</v>
      </c>
    </row>
    <row r="172" spans="1:3" x14ac:dyDescent="0.25">
      <c r="A172" t="s">
        <v>12</v>
      </c>
      <c r="B172" t="s">
        <v>14</v>
      </c>
    </row>
    <row r="174" spans="1:3" x14ac:dyDescent="0.25">
      <c r="A174" t="s">
        <v>4</v>
      </c>
      <c r="B174" t="s">
        <v>8</v>
      </c>
    </row>
    <row r="176" spans="1:3" x14ac:dyDescent="0.25">
      <c r="A176" t="s">
        <v>7</v>
      </c>
      <c r="B176" t="s">
        <v>1</v>
      </c>
    </row>
    <row r="178" spans="1:2" x14ac:dyDescent="0.25">
      <c r="A178" t="s">
        <v>4</v>
      </c>
      <c r="B178" t="s">
        <v>15</v>
      </c>
    </row>
    <row r="180" spans="1:2" x14ac:dyDescent="0.25">
      <c r="A180" t="s">
        <v>4</v>
      </c>
      <c r="B180" t="s">
        <v>5</v>
      </c>
    </row>
    <row r="182" spans="1:2" x14ac:dyDescent="0.25">
      <c r="A182" t="s">
        <v>10</v>
      </c>
      <c r="B182" t="s">
        <v>21</v>
      </c>
    </row>
    <row r="184" spans="1:2" x14ac:dyDescent="0.25">
      <c r="A184" t="s">
        <v>2</v>
      </c>
      <c r="B184" t="s">
        <v>19</v>
      </c>
    </row>
    <row r="186" spans="1:2" x14ac:dyDescent="0.25">
      <c r="A186" t="s">
        <v>2</v>
      </c>
      <c r="B186" t="s">
        <v>16</v>
      </c>
    </row>
    <row r="188" spans="1:2" x14ac:dyDescent="0.25">
      <c r="A188" t="s">
        <v>4</v>
      </c>
      <c r="B188" t="s">
        <v>3</v>
      </c>
    </row>
    <row r="190" spans="1:2" x14ac:dyDescent="0.25">
      <c r="A190" t="s">
        <v>20</v>
      </c>
      <c r="B190" t="s">
        <v>18</v>
      </c>
    </row>
    <row r="192" spans="1:2" x14ac:dyDescent="0.25">
      <c r="A192" t="s">
        <v>2</v>
      </c>
      <c r="B192" t="s">
        <v>6</v>
      </c>
    </row>
    <row r="194" spans="1:3" x14ac:dyDescent="0.25">
      <c r="A194" t="s">
        <v>2</v>
      </c>
      <c r="B194" t="s">
        <v>11</v>
      </c>
    </row>
    <row r="196" spans="1:3" x14ac:dyDescent="0.25">
      <c r="A196" t="s">
        <v>2</v>
      </c>
      <c r="B196" t="s">
        <v>9</v>
      </c>
    </row>
    <row r="199" spans="1:3" x14ac:dyDescent="0.25">
      <c r="A199" t="s">
        <v>28</v>
      </c>
      <c r="C199" t="str">
        <f>IF(COUNTIF(A199:A231,"LAUNCH1.vbs"),"launch1","-")&amp;IF(COUNTIF(A199:A231,"LAUNCH2.vbs"),"launch2","-")&amp;IF(COUNTIF(A199:A231,"LAUNCH3.vbs"),"launch3","-")&amp;IF(COUNTIF(A199:A231,"LAUNCH4.vbs"),"launch4","-")&amp;IF(COUNTIF(A199:A231,"LAUNCH5.vbs"),"launch5","-")</f>
        <v>launch1launch2launch3launch4launch5</v>
      </c>
    </row>
    <row r="201" spans="1:3" x14ac:dyDescent="0.25">
      <c r="A201" t="s">
        <v>17</v>
      </c>
      <c r="B201" t="s">
        <v>8</v>
      </c>
    </row>
    <row r="203" spans="1:3" x14ac:dyDescent="0.25">
      <c r="A203" t="s">
        <v>7</v>
      </c>
      <c r="B203" t="s">
        <v>13</v>
      </c>
    </row>
    <row r="205" spans="1:3" x14ac:dyDescent="0.25">
      <c r="A205" t="s">
        <v>20</v>
      </c>
      <c r="B205" t="s">
        <v>3</v>
      </c>
    </row>
    <row r="207" spans="1:3" x14ac:dyDescent="0.25">
      <c r="A207" t="s">
        <v>4</v>
      </c>
      <c r="B207" t="s">
        <v>19</v>
      </c>
    </row>
    <row r="209" spans="1:2" x14ac:dyDescent="0.25">
      <c r="A209" t="s">
        <v>2</v>
      </c>
      <c r="B209" t="s">
        <v>21</v>
      </c>
    </row>
    <row r="211" spans="1:2" x14ac:dyDescent="0.25">
      <c r="A211" t="s">
        <v>2</v>
      </c>
      <c r="B211" t="s">
        <v>22</v>
      </c>
    </row>
    <row r="213" spans="1:2" x14ac:dyDescent="0.25">
      <c r="A213" t="s">
        <v>4</v>
      </c>
      <c r="B213" t="s">
        <v>16</v>
      </c>
    </row>
    <row r="215" spans="1:2" x14ac:dyDescent="0.25">
      <c r="A215" t="s">
        <v>10</v>
      </c>
      <c r="B215" t="s">
        <v>15</v>
      </c>
    </row>
    <row r="217" spans="1:2" x14ac:dyDescent="0.25">
      <c r="A217" t="s">
        <v>4</v>
      </c>
      <c r="B217" t="s">
        <v>6</v>
      </c>
    </row>
    <row r="219" spans="1:2" x14ac:dyDescent="0.25">
      <c r="A219" t="s">
        <v>12</v>
      </c>
      <c r="B219" t="s">
        <v>5</v>
      </c>
    </row>
    <row r="221" spans="1:2" x14ac:dyDescent="0.25">
      <c r="A221" t="s">
        <v>4</v>
      </c>
      <c r="B221" t="s">
        <v>9</v>
      </c>
    </row>
    <row r="223" spans="1:2" x14ac:dyDescent="0.25">
      <c r="A223" t="s">
        <v>2</v>
      </c>
      <c r="B223" t="s">
        <v>18</v>
      </c>
    </row>
    <row r="225" spans="1:3" x14ac:dyDescent="0.25">
      <c r="A225" t="s">
        <v>2</v>
      </c>
      <c r="B225" t="s">
        <v>14</v>
      </c>
    </row>
    <row r="227" spans="1:3" x14ac:dyDescent="0.25">
      <c r="A227" t="s">
        <v>2</v>
      </c>
      <c r="B227" t="s">
        <v>1</v>
      </c>
    </row>
    <row r="229" spans="1:3" x14ac:dyDescent="0.25">
      <c r="A229" t="s">
        <v>4</v>
      </c>
      <c r="B229" t="s">
        <v>11</v>
      </c>
    </row>
    <row r="232" spans="1:3" x14ac:dyDescent="0.25">
      <c r="A232" t="s">
        <v>29</v>
      </c>
      <c r="C232" t="str">
        <f>IF(COUNTIF(A232:A264,"LAUNCH1.vbs"),"launch1","-")&amp;IF(COUNTIF(A232:A264,"LAUNCH2.vbs"),"launch2","-")&amp;IF(COUNTIF(A232:A264,"LAUNCH3.vbs"),"launch3","-")&amp;IF(COUNTIF(A232:A264,"LAUNCH4.vbs"),"launch4","-")&amp;IF(COUNTIF(A232:A264,"LAUNCH5.vbs"),"launch5","-")</f>
        <v>launch1launch2launch3launch4launch5</v>
      </c>
    </row>
    <row r="234" spans="1:3" x14ac:dyDescent="0.25">
      <c r="A234" t="s">
        <v>2</v>
      </c>
      <c r="B234" t="s">
        <v>11</v>
      </c>
    </row>
    <row r="236" spans="1:3" x14ac:dyDescent="0.25">
      <c r="A236" t="s">
        <v>7</v>
      </c>
      <c r="B236" t="s">
        <v>15</v>
      </c>
    </row>
    <row r="238" spans="1:3" x14ac:dyDescent="0.25">
      <c r="A238" t="s">
        <v>17</v>
      </c>
      <c r="B238" t="s">
        <v>3</v>
      </c>
    </row>
    <row r="240" spans="1:3" x14ac:dyDescent="0.25">
      <c r="A240" t="s">
        <v>4</v>
      </c>
      <c r="B240" t="s">
        <v>14</v>
      </c>
    </row>
    <row r="242" spans="1:2" x14ac:dyDescent="0.25">
      <c r="A242" t="s">
        <v>2</v>
      </c>
      <c r="B242" t="s">
        <v>6</v>
      </c>
    </row>
    <row r="244" spans="1:2" x14ac:dyDescent="0.25">
      <c r="A244" t="s">
        <v>12</v>
      </c>
      <c r="B244" t="s">
        <v>8</v>
      </c>
    </row>
    <row r="246" spans="1:2" x14ac:dyDescent="0.25">
      <c r="A246" t="s">
        <v>4</v>
      </c>
      <c r="B246" t="s">
        <v>18</v>
      </c>
    </row>
    <row r="248" spans="1:2" x14ac:dyDescent="0.25">
      <c r="A248" t="s">
        <v>4</v>
      </c>
      <c r="B248" t="s">
        <v>22</v>
      </c>
    </row>
    <row r="250" spans="1:2" x14ac:dyDescent="0.25">
      <c r="A250" t="s">
        <v>20</v>
      </c>
      <c r="B250" t="s">
        <v>13</v>
      </c>
    </row>
    <row r="252" spans="1:2" x14ac:dyDescent="0.25">
      <c r="A252" t="s">
        <v>4</v>
      </c>
      <c r="B252" t="s">
        <v>21</v>
      </c>
    </row>
    <row r="254" spans="1:2" x14ac:dyDescent="0.25">
      <c r="A254" t="s">
        <v>2</v>
      </c>
      <c r="B254" t="s">
        <v>19</v>
      </c>
    </row>
    <row r="256" spans="1:2" x14ac:dyDescent="0.25">
      <c r="A256" t="s">
        <v>2</v>
      </c>
      <c r="B256" t="s">
        <v>16</v>
      </c>
    </row>
    <row r="258" spans="1:3" x14ac:dyDescent="0.25">
      <c r="A258" t="s">
        <v>2</v>
      </c>
      <c r="B258" t="s">
        <v>9</v>
      </c>
    </row>
    <row r="260" spans="1:3" x14ac:dyDescent="0.25">
      <c r="A260" t="s">
        <v>4</v>
      </c>
      <c r="B260" t="s">
        <v>1</v>
      </c>
    </row>
    <row r="262" spans="1:3" x14ac:dyDescent="0.25">
      <c r="A262" t="s">
        <v>10</v>
      </c>
      <c r="B262" t="s">
        <v>5</v>
      </c>
    </row>
    <row r="265" spans="1:3" x14ac:dyDescent="0.25">
      <c r="A265" t="s">
        <v>30</v>
      </c>
      <c r="C265" t="str">
        <f>IF(COUNTIF(A265:A297,"LAUNCH1.vbs"),"launch1","-")&amp;IF(COUNTIF(A265:A297,"LAUNCH2.vbs"),"launch2","-")&amp;IF(COUNTIF(A265:A297,"LAUNCH3.vbs"),"launch3","-")&amp;IF(COUNTIF(A265:A297,"LAUNCH4.vbs"),"launch4","-")&amp;IF(COUNTIF(A265:A297,"LAUNCH5.vbs"),"launch5","-")</f>
        <v>launch1launch2launch3launch4launch5</v>
      </c>
    </row>
    <row r="267" spans="1:3" x14ac:dyDescent="0.25">
      <c r="A267" t="s">
        <v>20</v>
      </c>
      <c r="B267" t="s">
        <v>18</v>
      </c>
    </row>
    <row r="269" spans="1:3" x14ac:dyDescent="0.25">
      <c r="A269" t="s">
        <v>2</v>
      </c>
      <c r="B269" t="s">
        <v>5</v>
      </c>
    </row>
    <row r="271" spans="1:3" x14ac:dyDescent="0.25">
      <c r="A271" t="s">
        <v>7</v>
      </c>
      <c r="B271" t="s">
        <v>22</v>
      </c>
    </row>
    <row r="273" spans="1:2" x14ac:dyDescent="0.25">
      <c r="A273" t="s">
        <v>2</v>
      </c>
      <c r="B273" t="s">
        <v>8</v>
      </c>
    </row>
    <row r="275" spans="1:2" x14ac:dyDescent="0.25">
      <c r="A275" t="s">
        <v>2</v>
      </c>
      <c r="B275" t="s">
        <v>15</v>
      </c>
    </row>
    <row r="277" spans="1:2" x14ac:dyDescent="0.25">
      <c r="A277" t="s">
        <v>12</v>
      </c>
      <c r="B277" t="s">
        <v>21</v>
      </c>
    </row>
    <row r="279" spans="1:2" x14ac:dyDescent="0.25">
      <c r="A279" t="s">
        <v>4</v>
      </c>
      <c r="B279" t="s">
        <v>16</v>
      </c>
    </row>
    <row r="281" spans="1:2" x14ac:dyDescent="0.25">
      <c r="A281" t="s">
        <v>4</v>
      </c>
      <c r="B281" t="s">
        <v>9</v>
      </c>
    </row>
    <row r="283" spans="1:2" x14ac:dyDescent="0.25">
      <c r="A283" t="s">
        <v>17</v>
      </c>
      <c r="B283" t="s">
        <v>1</v>
      </c>
    </row>
    <row r="285" spans="1:2" x14ac:dyDescent="0.25">
      <c r="A285" t="s">
        <v>10</v>
      </c>
      <c r="B285" t="s">
        <v>14</v>
      </c>
    </row>
    <row r="287" spans="1:2" x14ac:dyDescent="0.25">
      <c r="A287" t="s">
        <v>4</v>
      </c>
      <c r="B287" t="s">
        <v>11</v>
      </c>
    </row>
    <row r="289" spans="1:3" x14ac:dyDescent="0.25">
      <c r="A289" t="s">
        <v>2</v>
      </c>
      <c r="B289" t="s">
        <v>13</v>
      </c>
    </row>
    <row r="291" spans="1:3" x14ac:dyDescent="0.25">
      <c r="A291" t="s">
        <v>2</v>
      </c>
      <c r="B291" t="s">
        <v>3</v>
      </c>
    </row>
    <row r="293" spans="1:3" x14ac:dyDescent="0.25">
      <c r="A293" t="s">
        <v>4</v>
      </c>
      <c r="B293" t="s">
        <v>6</v>
      </c>
    </row>
    <row r="295" spans="1:3" x14ac:dyDescent="0.25">
      <c r="A295" t="s">
        <v>4</v>
      </c>
      <c r="B295" t="s">
        <v>19</v>
      </c>
    </row>
    <row r="298" spans="1:3" x14ac:dyDescent="0.25">
      <c r="A298" t="s">
        <v>31</v>
      </c>
      <c r="C298" t="str">
        <f>IF(COUNTIF(A298:A330,"LAUNCH1.vbs"),"launch1","-")&amp;IF(COUNTIF(A298:A330,"LAUNCH2.vbs"),"launch2","-")&amp;IF(COUNTIF(A298:A330,"LAUNCH3.vbs"),"launch3","-")&amp;IF(COUNTIF(A298:A330,"LAUNCH4.vbs"),"launch4","-")&amp;IF(COUNTIF(A298:A330,"LAUNCH5.vbs"),"launch5","-")</f>
        <v>launch1launch2launch3launch4launch5</v>
      </c>
    </row>
    <row r="300" spans="1:3" x14ac:dyDescent="0.25">
      <c r="A300" t="s">
        <v>2</v>
      </c>
      <c r="B300" t="s">
        <v>13</v>
      </c>
    </row>
    <row r="302" spans="1:3" x14ac:dyDescent="0.25">
      <c r="A302" t="s">
        <v>2</v>
      </c>
      <c r="B302" t="s">
        <v>8</v>
      </c>
    </row>
    <row r="304" spans="1:3" x14ac:dyDescent="0.25">
      <c r="A304" t="s">
        <v>10</v>
      </c>
      <c r="B304" t="s">
        <v>6</v>
      </c>
    </row>
    <row r="306" spans="1:2" x14ac:dyDescent="0.25">
      <c r="A306" t="s">
        <v>4</v>
      </c>
      <c r="B306" t="s">
        <v>18</v>
      </c>
    </row>
    <row r="308" spans="1:2" x14ac:dyDescent="0.25">
      <c r="A308" t="s">
        <v>4</v>
      </c>
      <c r="B308" t="s">
        <v>21</v>
      </c>
    </row>
    <row r="310" spans="1:2" x14ac:dyDescent="0.25">
      <c r="A310" t="s">
        <v>2</v>
      </c>
      <c r="B310" t="s">
        <v>5</v>
      </c>
    </row>
    <row r="312" spans="1:2" x14ac:dyDescent="0.25">
      <c r="A312" t="s">
        <v>4</v>
      </c>
      <c r="B312" t="s">
        <v>22</v>
      </c>
    </row>
    <row r="314" spans="1:2" x14ac:dyDescent="0.25">
      <c r="A314" t="s">
        <v>20</v>
      </c>
      <c r="B314" t="s">
        <v>11</v>
      </c>
    </row>
    <row r="316" spans="1:2" x14ac:dyDescent="0.25">
      <c r="A316" t="s">
        <v>7</v>
      </c>
      <c r="B316" t="s">
        <v>19</v>
      </c>
    </row>
    <row r="318" spans="1:2" x14ac:dyDescent="0.25">
      <c r="A318" t="s">
        <v>12</v>
      </c>
      <c r="B318" t="s">
        <v>16</v>
      </c>
    </row>
    <row r="320" spans="1:2" x14ac:dyDescent="0.25">
      <c r="A320" t="s">
        <v>2</v>
      </c>
      <c r="B320" t="s">
        <v>3</v>
      </c>
    </row>
    <row r="322" spans="1:3" x14ac:dyDescent="0.25">
      <c r="A322" t="s">
        <v>2</v>
      </c>
      <c r="B322" t="s">
        <v>15</v>
      </c>
    </row>
    <row r="324" spans="1:3" x14ac:dyDescent="0.25">
      <c r="A324" t="s">
        <v>17</v>
      </c>
      <c r="B324" t="s">
        <v>9</v>
      </c>
    </row>
    <row r="326" spans="1:3" x14ac:dyDescent="0.25">
      <c r="A326" t="s">
        <v>4</v>
      </c>
      <c r="B326" t="s">
        <v>14</v>
      </c>
    </row>
    <row r="328" spans="1:3" x14ac:dyDescent="0.25">
      <c r="A328" t="s">
        <v>4</v>
      </c>
      <c r="B328" t="s">
        <v>1</v>
      </c>
    </row>
    <row r="331" spans="1:3" x14ac:dyDescent="0.25">
      <c r="A331" t="s">
        <v>32</v>
      </c>
      <c r="C331" t="str">
        <f>IF(COUNTIF(A331:A363,"LAUNCH1.vbs"),"launch1","-")&amp;IF(COUNTIF(A331:A363,"LAUNCH2.vbs"),"launch2","-")&amp;IF(COUNTIF(A331:A363,"LAUNCH3.vbs"),"launch3","-")&amp;IF(COUNTIF(A331:A363,"LAUNCH4.vbs"),"launch4","-")&amp;IF(COUNTIF(A331:A363,"LAUNCH5.vbs"),"launch5","-")</f>
        <v>launch1launch2launch3launch4launch5</v>
      </c>
    </row>
    <row r="333" spans="1:3" x14ac:dyDescent="0.25">
      <c r="A333" t="s">
        <v>20</v>
      </c>
      <c r="B333" t="s">
        <v>11</v>
      </c>
    </row>
    <row r="335" spans="1:3" x14ac:dyDescent="0.25">
      <c r="A335" t="s">
        <v>2</v>
      </c>
      <c r="B335" t="s">
        <v>1</v>
      </c>
    </row>
    <row r="337" spans="1:2" x14ac:dyDescent="0.25">
      <c r="A337" t="s">
        <v>4</v>
      </c>
      <c r="B337" t="s">
        <v>15</v>
      </c>
    </row>
    <row r="339" spans="1:2" x14ac:dyDescent="0.25">
      <c r="A339" t="s">
        <v>4</v>
      </c>
      <c r="B339" t="s">
        <v>13</v>
      </c>
    </row>
    <row r="341" spans="1:2" x14ac:dyDescent="0.25">
      <c r="A341" t="s">
        <v>2</v>
      </c>
      <c r="B341" t="s">
        <v>18</v>
      </c>
    </row>
    <row r="343" spans="1:2" x14ac:dyDescent="0.25">
      <c r="A343" t="s">
        <v>2</v>
      </c>
      <c r="B343" t="s">
        <v>21</v>
      </c>
    </row>
    <row r="345" spans="1:2" x14ac:dyDescent="0.25">
      <c r="A345" t="s">
        <v>4</v>
      </c>
      <c r="B345" t="s">
        <v>8</v>
      </c>
    </row>
    <row r="347" spans="1:2" x14ac:dyDescent="0.25">
      <c r="A347" t="s">
        <v>12</v>
      </c>
      <c r="B347" t="s">
        <v>19</v>
      </c>
    </row>
    <row r="349" spans="1:2" x14ac:dyDescent="0.25">
      <c r="A349" t="s">
        <v>4</v>
      </c>
      <c r="B349" t="s">
        <v>3</v>
      </c>
    </row>
    <row r="351" spans="1:2" x14ac:dyDescent="0.25">
      <c r="A351" t="s">
        <v>2</v>
      </c>
      <c r="B351" t="s">
        <v>14</v>
      </c>
    </row>
    <row r="353" spans="1:3" x14ac:dyDescent="0.25">
      <c r="A353" t="s">
        <v>10</v>
      </c>
      <c r="B353" t="s">
        <v>16</v>
      </c>
    </row>
    <row r="355" spans="1:3" x14ac:dyDescent="0.25">
      <c r="A355" t="s">
        <v>7</v>
      </c>
      <c r="B355" t="s">
        <v>9</v>
      </c>
    </row>
    <row r="357" spans="1:3" x14ac:dyDescent="0.25">
      <c r="A357" t="s">
        <v>2</v>
      </c>
      <c r="B357" t="s">
        <v>22</v>
      </c>
    </row>
    <row r="359" spans="1:3" x14ac:dyDescent="0.25">
      <c r="A359" t="s">
        <v>17</v>
      </c>
      <c r="B359" t="s">
        <v>6</v>
      </c>
    </row>
    <row r="361" spans="1:3" x14ac:dyDescent="0.25">
      <c r="A361" t="s">
        <v>4</v>
      </c>
      <c r="B361" t="s">
        <v>5</v>
      </c>
    </row>
    <row r="364" spans="1:3" x14ac:dyDescent="0.25">
      <c r="A364" t="s">
        <v>33</v>
      </c>
      <c r="C364" t="str">
        <f>IF(COUNTIF(A364:A396,"LAUNCH1.vbs"),"launch1","-")&amp;IF(COUNTIF(A364:A396,"LAUNCH2.vbs"),"launch2","-")&amp;IF(COUNTIF(A364:A396,"LAUNCH3.vbs"),"launch3","-")&amp;IF(COUNTIF(A364:A396,"LAUNCH4.vbs"),"launch4","-")&amp;IF(COUNTIF(A364:A396,"LAUNCH5.vbs"),"launch5","-")</f>
        <v>launch1launch2launch3launch4launch5</v>
      </c>
    </row>
    <row r="366" spans="1:3" x14ac:dyDescent="0.25">
      <c r="A366" t="s">
        <v>12</v>
      </c>
      <c r="B366" t="s">
        <v>14</v>
      </c>
    </row>
    <row r="368" spans="1:3" x14ac:dyDescent="0.25">
      <c r="A368" t="s">
        <v>7</v>
      </c>
      <c r="B368" t="s">
        <v>18</v>
      </c>
    </row>
    <row r="370" spans="1:2" x14ac:dyDescent="0.25">
      <c r="A370" t="s">
        <v>4</v>
      </c>
      <c r="B370" t="s">
        <v>5</v>
      </c>
    </row>
    <row r="372" spans="1:2" x14ac:dyDescent="0.25">
      <c r="A372" t="s">
        <v>4</v>
      </c>
      <c r="B372" t="s">
        <v>8</v>
      </c>
    </row>
    <row r="374" spans="1:2" x14ac:dyDescent="0.25">
      <c r="A374" t="s">
        <v>2</v>
      </c>
      <c r="B374" t="s">
        <v>11</v>
      </c>
    </row>
    <row r="376" spans="1:2" x14ac:dyDescent="0.25">
      <c r="A376" t="s">
        <v>2</v>
      </c>
      <c r="B376" t="s">
        <v>6</v>
      </c>
    </row>
    <row r="378" spans="1:2" x14ac:dyDescent="0.25">
      <c r="A378" t="s">
        <v>4</v>
      </c>
      <c r="B378" t="s">
        <v>13</v>
      </c>
    </row>
    <row r="380" spans="1:2" x14ac:dyDescent="0.25">
      <c r="A380" t="s">
        <v>2</v>
      </c>
      <c r="B380" t="s">
        <v>16</v>
      </c>
    </row>
    <row r="382" spans="1:2" x14ac:dyDescent="0.25">
      <c r="A382" t="s">
        <v>20</v>
      </c>
      <c r="B382" t="s">
        <v>22</v>
      </c>
    </row>
    <row r="384" spans="1:2" x14ac:dyDescent="0.25">
      <c r="A384" t="s">
        <v>2</v>
      </c>
      <c r="B384" t="s">
        <v>19</v>
      </c>
    </row>
    <row r="386" spans="1:3" x14ac:dyDescent="0.25">
      <c r="A386" t="s">
        <v>4</v>
      </c>
      <c r="B386" t="s">
        <v>3</v>
      </c>
    </row>
    <row r="388" spans="1:3" x14ac:dyDescent="0.25">
      <c r="A388" t="s">
        <v>2</v>
      </c>
      <c r="B388" t="s">
        <v>9</v>
      </c>
    </row>
    <row r="390" spans="1:3" x14ac:dyDescent="0.25">
      <c r="A390" t="s">
        <v>17</v>
      </c>
      <c r="B390" t="s">
        <v>1</v>
      </c>
    </row>
    <row r="392" spans="1:3" x14ac:dyDescent="0.25">
      <c r="A392" t="s">
        <v>4</v>
      </c>
      <c r="B392" t="s">
        <v>15</v>
      </c>
    </row>
    <row r="394" spans="1:3" x14ac:dyDescent="0.25">
      <c r="A394" t="s">
        <v>10</v>
      </c>
      <c r="B394" t="s">
        <v>21</v>
      </c>
    </row>
    <row r="397" spans="1:3" x14ac:dyDescent="0.25">
      <c r="A397" t="s">
        <v>34</v>
      </c>
      <c r="C397" t="str">
        <f>IF(COUNTIF(A397:A429,"LAUNCH1.vbs"),"launch1","-")&amp;IF(COUNTIF(A397:A429,"LAUNCH2.vbs"),"launch2","-")&amp;IF(COUNTIF(A397:A429,"LAUNCH3.vbs"),"launch3","-")&amp;IF(COUNTIF(A397:A429,"LAUNCH4.vbs"),"launch4","-")&amp;IF(COUNTIF(A397:A429,"LAUNCH5.vbs"),"launch5","-")</f>
        <v>launch1launch2launch3launch4launch5</v>
      </c>
    </row>
    <row r="399" spans="1:3" x14ac:dyDescent="0.25">
      <c r="A399" t="s">
        <v>4</v>
      </c>
      <c r="B399" t="s">
        <v>13</v>
      </c>
    </row>
    <row r="401" spans="1:2" x14ac:dyDescent="0.25">
      <c r="A401" t="s">
        <v>10</v>
      </c>
      <c r="B401" t="s">
        <v>18</v>
      </c>
    </row>
    <row r="403" spans="1:2" x14ac:dyDescent="0.25">
      <c r="A403" t="s">
        <v>12</v>
      </c>
      <c r="B403" t="s">
        <v>22</v>
      </c>
    </row>
    <row r="405" spans="1:2" x14ac:dyDescent="0.25">
      <c r="A405" t="s">
        <v>4</v>
      </c>
      <c r="B405" t="s">
        <v>15</v>
      </c>
    </row>
    <row r="407" spans="1:2" x14ac:dyDescent="0.25">
      <c r="A407" t="s">
        <v>4</v>
      </c>
      <c r="B407" t="s">
        <v>5</v>
      </c>
    </row>
    <row r="409" spans="1:2" x14ac:dyDescent="0.25">
      <c r="A409" t="s">
        <v>4</v>
      </c>
      <c r="B409" t="s">
        <v>8</v>
      </c>
    </row>
    <row r="411" spans="1:2" x14ac:dyDescent="0.25">
      <c r="A411" t="s">
        <v>2</v>
      </c>
      <c r="B411" t="s">
        <v>11</v>
      </c>
    </row>
    <row r="413" spans="1:2" x14ac:dyDescent="0.25">
      <c r="A413" t="s">
        <v>17</v>
      </c>
      <c r="B413" t="s">
        <v>14</v>
      </c>
    </row>
    <row r="415" spans="1:2" x14ac:dyDescent="0.25">
      <c r="A415" t="s">
        <v>4</v>
      </c>
      <c r="B415" t="s">
        <v>3</v>
      </c>
    </row>
    <row r="417" spans="1:3" x14ac:dyDescent="0.25">
      <c r="A417" t="s">
        <v>2</v>
      </c>
      <c r="B417" t="s">
        <v>6</v>
      </c>
    </row>
    <row r="419" spans="1:3" x14ac:dyDescent="0.25">
      <c r="A419" t="s">
        <v>7</v>
      </c>
      <c r="B419" t="s">
        <v>1</v>
      </c>
    </row>
    <row r="421" spans="1:3" x14ac:dyDescent="0.25">
      <c r="A421" t="s">
        <v>2</v>
      </c>
      <c r="B421" t="s">
        <v>9</v>
      </c>
    </row>
    <row r="423" spans="1:3" x14ac:dyDescent="0.25">
      <c r="A423" t="s">
        <v>2</v>
      </c>
      <c r="B423" t="s">
        <v>16</v>
      </c>
    </row>
    <row r="425" spans="1:3" x14ac:dyDescent="0.25">
      <c r="A425" t="s">
        <v>20</v>
      </c>
      <c r="B425" t="s">
        <v>21</v>
      </c>
    </row>
    <row r="427" spans="1:3" x14ac:dyDescent="0.25">
      <c r="A427" t="s">
        <v>2</v>
      </c>
      <c r="B427" t="s">
        <v>19</v>
      </c>
    </row>
    <row r="430" spans="1:3" x14ac:dyDescent="0.25">
      <c r="A430" t="s">
        <v>35</v>
      </c>
      <c r="C430" t="str">
        <f>IF(COUNTIF(A430:A462,"LAUNCH1.vbs"),"launch1","-")&amp;IF(COUNTIF(A430:A462,"LAUNCH2.vbs"),"launch2","-")&amp;IF(COUNTIF(A430:A462,"LAUNCH3.vbs"),"launch3","-")&amp;IF(COUNTIF(A430:A462,"LAUNCH4.vbs"),"launch4","-")&amp;IF(COUNTIF(A430:A462,"LAUNCH5.vbs"),"launch5","-")</f>
        <v>launch1launch2launch3launch4launch5</v>
      </c>
    </row>
    <row r="432" spans="1:3" x14ac:dyDescent="0.25">
      <c r="A432" t="s">
        <v>2</v>
      </c>
      <c r="B432" t="s">
        <v>1</v>
      </c>
    </row>
    <row r="434" spans="1:2" x14ac:dyDescent="0.25">
      <c r="A434" t="s">
        <v>20</v>
      </c>
      <c r="B434" t="s">
        <v>8</v>
      </c>
    </row>
    <row r="436" spans="1:2" x14ac:dyDescent="0.25">
      <c r="A436" t="s">
        <v>2</v>
      </c>
      <c r="B436" t="s">
        <v>18</v>
      </c>
    </row>
    <row r="438" spans="1:2" x14ac:dyDescent="0.25">
      <c r="A438" t="s">
        <v>4</v>
      </c>
      <c r="B438" t="s">
        <v>19</v>
      </c>
    </row>
    <row r="440" spans="1:2" x14ac:dyDescent="0.25">
      <c r="A440" t="s">
        <v>4</v>
      </c>
      <c r="B440" t="s">
        <v>11</v>
      </c>
    </row>
    <row r="442" spans="1:2" x14ac:dyDescent="0.25">
      <c r="A442" t="s">
        <v>2</v>
      </c>
      <c r="B442" t="s">
        <v>21</v>
      </c>
    </row>
    <row r="444" spans="1:2" x14ac:dyDescent="0.25">
      <c r="A444" t="s">
        <v>12</v>
      </c>
      <c r="B444" t="s">
        <v>3</v>
      </c>
    </row>
    <row r="446" spans="1:2" x14ac:dyDescent="0.25">
      <c r="A446" t="s">
        <v>7</v>
      </c>
      <c r="B446" t="s">
        <v>13</v>
      </c>
    </row>
    <row r="448" spans="1:2" x14ac:dyDescent="0.25">
      <c r="A448" t="s">
        <v>2</v>
      </c>
      <c r="B448" t="s">
        <v>22</v>
      </c>
    </row>
    <row r="450" spans="1:3" x14ac:dyDescent="0.25">
      <c r="A450" t="s">
        <v>10</v>
      </c>
      <c r="B450" t="s">
        <v>5</v>
      </c>
    </row>
    <row r="452" spans="1:3" x14ac:dyDescent="0.25">
      <c r="A452" t="s">
        <v>4</v>
      </c>
      <c r="B452" t="s">
        <v>9</v>
      </c>
    </row>
    <row r="454" spans="1:3" x14ac:dyDescent="0.25">
      <c r="A454" t="s">
        <v>2</v>
      </c>
      <c r="B454" t="s">
        <v>14</v>
      </c>
    </row>
    <row r="456" spans="1:3" x14ac:dyDescent="0.25">
      <c r="A456" t="s">
        <v>4</v>
      </c>
      <c r="B456" t="s">
        <v>6</v>
      </c>
    </row>
    <row r="458" spans="1:3" x14ac:dyDescent="0.25">
      <c r="A458" t="s">
        <v>17</v>
      </c>
      <c r="B458" t="s">
        <v>15</v>
      </c>
    </row>
    <row r="460" spans="1:3" x14ac:dyDescent="0.25">
      <c r="A460" t="s">
        <v>4</v>
      </c>
      <c r="B460" t="s">
        <v>16</v>
      </c>
    </row>
    <row r="463" spans="1:3" x14ac:dyDescent="0.25">
      <c r="A463" t="s">
        <v>36</v>
      </c>
      <c r="C463" t="str">
        <f>IF(COUNTIF(A463:A495,"LAUNCH1.vbs"),"launch1","-")&amp;IF(COUNTIF(A463:A495,"LAUNCH2.vbs"),"launch2","-")&amp;IF(COUNTIF(A463:A495,"LAUNCH3.vbs"),"launch3","-")&amp;IF(COUNTIF(A463:A495,"LAUNCH4.vbs"),"launch4","-")&amp;IF(COUNTIF(A463:A495,"LAUNCH5.vbs"),"launch5","-")</f>
        <v>launch1launch2launch3launch4launch5</v>
      </c>
    </row>
    <row r="465" spans="1:2" x14ac:dyDescent="0.25">
      <c r="A465" t="s">
        <v>7</v>
      </c>
      <c r="B465" t="s">
        <v>15</v>
      </c>
    </row>
    <row r="467" spans="1:2" x14ac:dyDescent="0.25">
      <c r="A467" t="s">
        <v>2</v>
      </c>
      <c r="B467" t="s">
        <v>16</v>
      </c>
    </row>
    <row r="469" spans="1:2" x14ac:dyDescent="0.25">
      <c r="A469" t="s">
        <v>4</v>
      </c>
      <c r="B469" t="s">
        <v>14</v>
      </c>
    </row>
    <row r="471" spans="1:2" x14ac:dyDescent="0.25">
      <c r="A471" t="s">
        <v>4</v>
      </c>
      <c r="B471" t="s">
        <v>18</v>
      </c>
    </row>
    <row r="473" spans="1:2" x14ac:dyDescent="0.25">
      <c r="A473" t="s">
        <v>17</v>
      </c>
      <c r="B473" t="s">
        <v>3</v>
      </c>
    </row>
    <row r="475" spans="1:2" x14ac:dyDescent="0.25">
      <c r="A475" t="s">
        <v>12</v>
      </c>
      <c r="B475" t="s">
        <v>5</v>
      </c>
    </row>
    <row r="477" spans="1:2" x14ac:dyDescent="0.25">
      <c r="A477" t="s">
        <v>4</v>
      </c>
      <c r="B477" t="s">
        <v>22</v>
      </c>
    </row>
    <row r="479" spans="1:2" x14ac:dyDescent="0.25">
      <c r="A479" t="s">
        <v>2</v>
      </c>
      <c r="B479" t="s">
        <v>6</v>
      </c>
    </row>
    <row r="481" spans="1:3" x14ac:dyDescent="0.25">
      <c r="A481" t="s">
        <v>10</v>
      </c>
      <c r="B481" t="s">
        <v>8</v>
      </c>
    </row>
    <row r="483" spans="1:3" x14ac:dyDescent="0.25">
      <c r="A483" t="s">
        <v>2</v>
      </c>
      <c r="B483" t="s">
        <v>19</v>
      </c>
    </row>
    <row r="485" spans="1:3" x14ac:dyDescent="0.25">
      <c r="A485" t="s">
        <v>4</v>
      </c>
      <c r="B485" t="s">
        <v>21</v>
      </c>
    </row>
    <row r="487" spans="1:3" x14ac:dyDescent="0.25">
      <c r="A487" t="s">
        <v>2</v>
      </c>
      <c r="B487" t="s">
        <v>11</v>
      </c>
    </row>
    <row r="489" spans="1:3" x14ac:dyDescent="0.25">
      <c r="A489" t="s">
        <v>4</v>
      </c>
      <c r="B489" t="s">
        <v>1</v>
      </c>
    </row>
    <row r="491" spans="1:3" x14ac:dyDescent="0.25">
      <c r="A491" t="s">
        <v>2</v>
      </c>
      <c r="B491" t="s">
        <v>9</v>
      </c>
    </row>
    <row r="493" spans="1:3" x14ac:dyDescent="0.25">
      <c r="A493" t="s">
        <v>20</v>
      </c>
      <c r="B493" t="s">
        <v>13</v>
      </c>
    </row>
    <row r="496" spans="1:3" x14ac:dyDescent="0.25">
      <c r="A496" t="s">
        <v>37</v>
      </c>
      <c r="C496" t="str">
        <f>IF(COUNTIF(A496:A528,"LAUNCH1.vbs"),"launch1","-")&amp;IF(COUNTIF(A496:A528,"LAUNCH2.vbs"),"launch2","-")&amp;IF(COUNTIF(A496:A528,"LAUNCH3.vbs"),"launch3","-")&amp;IF(COUNTIF(A496:A528,"LAUNCH4.vbs"),"launch4","-")&amp;IF(COUNTIF(A496:A528,"LAUNCH5.vbs"),"launch5","-")</f>
        <v>launch1launch2launch3launch4launch5</v>
      </c>
    </row>
    <row r="498" spans="1:2" x14ac:dyDescent="0.25">
      <c r="A498" t="s">
        <v>12</v>
      </c>
      <c r="B498" t="s">
        <v>1</v>
      </c>
    </row>
    <row r="500" spans="1:2" x14ac:dyDescent="0.25">
      <c r="A500" t="s">
        <v>4</v>
      </c>
      <c r="B500" t="s">
        <v>6</v>
      </c>
    </row>
    <row r="502" spans="1:2" x14ac:dyDescent="0.25">
      <c r="A502" t="s">
        <v>2</v>
      </c>
      <c r="B502" t="s">
        <v>3</v>
      </c>
    </row>
    <row r="504" spans="1:2" x14ac:dyDescent="0.25">
      <c r="A504" t="s">
        <v>17</v>
      </c>
      <c r="B504" t="s">
        <v>14</v>
      </c>
    </row>
    <row r="506" spans="1:2" x14ac:dyDescent="0.25">
      <c r="A506" t="s">
        <v>2</v>
      </c>
      <c r="B506" t="s">
        <v>13</v>
      </c>
    </row>
    <row r="508" spans="1:2" x14ac:dyDescent="0.25">
      <c r="A508" t="s">
        <v>4</v>
      </c>
      <c r="B508" t="s">
        <v>9</v>
      </c>
    </row>
    <row r="510" spans="1:2" x14ac:dyDescent="0.25">
      <c r="A510" t="s">
        <v>4</v>
      </c>
      <c r="B510" t="s">
        <v>11</v>
      </c>
    </row>
    <row r="512" spans="1:2" x14ac:dyDescent="0.25">
      <c r="A512" t="s">
        <v>20</v>
      </c>
      <c r="B512" t="s">
        <v>18</v>
      </c>
    </row>
    <row r="514" spans="1:2" x14ac:dyDescent="0.25">
      <c r="A514" t="s">
        <v>10</v>
      </c>
      <c r="B514" t="s">
        <v>21</v>
      </c>
    </row>
    <row r="516" spans="1:2" x14ac:dyDescent="0.25">
      <c r="A516" t="s">
        <v>4</v>
      </c>
      <c r="B516" t="s">
        <v>19</v>
      </c>
    </row>
    <row r="518" spans="1:2" x14ac:dyDescent="0.25">
      <c r="A518" t="s">
        <v>2</v>
      </c>
      <c r="B518" t="s">
        <v>8</v>
      </c>
    </row>
    <row r="520" spans="1:2" x14ac:dyDescent="0.25">
      <c r="A520" t="s">
        <v>2</v>
      </c>
      <c r="B520" t="s">
        <v>5</v>
      </c>
    </row>
    <row r="522" spans="1:2" x14ac:dyDescent="0.25">
      <c r="A522" t="s">
        <v>7</v>
      </c>
      <c r="B522" t="s">
        <v>22</v>
      </c>
    </row>
    <row r="524" spans="1:2" x14ac:dyDescent="0.25">
      <c r="A524" t="s">
        <v>2</v>
      </c>
      <c r="B524" t="s">
        <v>15</v>
      </c>
    </row>
    <row r="526" spans="1:2" x14ac:dyDescent="0.25">
      <c r="A526" t="s">
        <v>4</v>
      </c>
      <c r="B526" t="s">
        <v>16</v>
      </c>
    </row>
    <row r="529" spans="1:3" x14ac:dyDescent="0.25">
      <c r="A529" t="s">
        <v>38</v>
      </c>
      <c r="C529" t="str">
        <f>IF(COUNTIF(A529:A561,"LAUNCH1.vbs"),"launch1","-")&amp;IF(COUNTIF(A529:A561,"LAUNCH2.vbs"),"launch2","-")&amp;IF(COUNTIF(A529:A561,"LAUNCH3.vbs"),"launch3","-")&amp;IF(COUNTIF(A529:A561,"LAUNCH4.vbs"),"launch4","-")&amp;IF(COUNTIF(A529:A561,"LAUNCH5.vbs"),"launch5","-")</f>
        <v>launch1launch2launch3launch4launch5</v>
      </c>
    </row>
    <row r="531" spans="1:3" x14ac:dyDescent="0.25">
      <c r="A531" t="s">
        <v>2</v>
      </c>
      <c r="B531" t="s">
        <v>3</v>
      </c>
    </row>
    <row r="533" spans="1:3" x14ac:dyDescent="0.25">
      <c r="A533" t="s">
        <v>2</v>
      </c>
      <c r="B533" t="s">
        <v>8</v>
      </c>
    </row>
    <row r="535" spans="1:3" x14ac:dyDescent="0.25">
      <c r="A535" t="s">
        <v>7</v>
      </c>
      <c r="B535" t="s">
        <v>19</v>
      </c>
    </row>
    <row r="537" spans="1:3" x14ac:dyDescent="0.25">
      <c r="A537" t="s">
        <v>4</v>
      </c>
      <c r="B537" t="s">
        <v>1</v>
      </c>
    </row>
    <row r="539" spans="1:3" x14ac:dyDescent="0.25">
      <c r="A539" t="s">
        <v>4</v>
      </c>
      <c r="B539" t="s">
        <v>18</v>
      </c>
    </row>
    <row r="541" spans="1:3" x14ac:dyDescent="0.25">
      <c r="A541" t="s">
        <v>12</v>
      </c>
      <c r="B541" t="s">
        <v>11</v>
      </c>
    </row>
    <row r="543" spans="1:3" x14ac:dyDescent="0.25">
      <c r="A543" t="s">
        <v>4</v>
      </c>
      <c r="B543" t="s">
        <v>22</v>
      </c>
    </row>
    <row r="545" spans="1:2" x14ac:dyDescent="0.25">
      <c r="A545" t="s">
        <v>17</v>
      </c>
      <c r="B545" t="s">
        <v>6</v>
      </c>
    </row>
    <row r="547" spans="1:2" x14ac:dyDescent="0.25">
      <c r="A547" t="s">
        <v>2</v>
      </c>
      <c r="B547" t="s">
        <v>15</v>
      </c>
    </row>
    <row r="549" spans="1:2" x14ac:dyDescent="0.25">
      <c r="A549" t="s">
        <v>20</v>
      </c>
      <c r="B549" t="s">
        <v>16</v>
      </c>
    </row>
    <row r="551" spans="1:2" x14ac:dyDescent="0.25">
      <c r="A551" t="s">
        <v>4</v>
      </c>
      <c r="B551" t="s">
        <v>21</v>
      </c>
    </row>
    <row r="553" spans="1:2" x14ac:dyDescent="0.25">
      <c r="A553" t="s">
        <v>2</v>
      </c>
      <c r="B553" t="s">
        <v>5</v>
      </c>
    </row>
    <row r="555" spans="1:2" x14ac:dyDescent="0.25">
      <c r="A555" t="s">
        <v>4</v>
      </c>
      <c r="B555" t="s">
        <v>14</v>
      </c>
    </row>
    <row r="557" spans="1:2" x14ac:dyDescent="0.25">
      <c r="A557" t="s">
        <v>2</v>
      </c>
      <c r="B557" t="s">
        <v>13</v>
      </c>
    </row>
    <row r="559" spans="1:2" x14ac:dyDescent="0.25">
      <c r="A559" t="s">
        <v>10</v>
      </c>
      <c r="B559" t="s">
        <v>9</v>
      </c>
    </row>
    <row r="562" spans="1:3" x14ac:dyDescent="0.25">
      <c r="A562" t="s">
        <v>39</v>
      </c>
      <c r="C562" t="str">
        <f>IF(COUNTIF(A562:A594,"LAUNCH1.vbs"),"launch1","-")&amp;IF(COUNTIF(A562:A594,"LAUNCH2.vbs"),"launch2","-")&amp;IF(COUNTIF(A562:A594,"LAUNCH3.vbs"),"launch3","-")&amp;IF(COUNTIF(A562:A594,"LAUNCH4.vbs"),"launch4","-")&amp;IF(COUNTIF(A562:A594,"LAUNCH5.vbs"),"launch5","-")</f>
        <v>launch1launch2launch3launch4launch5</v>
      </c>
    </row>
    <row r="564" spans="1:3" x14ac:dyDescent="0.25">
      <c r="A564" t="s">
        <v>4</v>
      </c>
      <c r="B564" t="s">
        <v>3</v>
      </c>
    </row>
    <row r="566" spans="1:3" x14ac:dyDescent="0.25">
      <c r="A566" t="s">
        <v>2</v>
      </c>
      <c r="B566" t="s">
        <v>21</v>
      </c>
    </row>
    <row r="568" spans="1:3" x14ac:dyDescent="0.25">
      <c r="A568" t="s">
        <v>20</v>
      </c>
      <c r="B568" t="s">
        <v>16</v>
      </c>
    </row>
    <row r="570" spans="1:3" x14ac:dyDescent="0.25">
      <c r="A570" t="s">
        <v>12</v>
      </c>
      <c r="B570" t="s">
        <v>9</v>
      </c>
    </row>
    <row r="572" spans="1:3" x14ac:dyDescent="0.25">
      <c r="A572" t="s">
        <v>4</v>
      </c>
      <c r="B572" t="s">
        <v>5</v>
      </c>
    </row>
    <row r="574" spans="1:3" x14ac:dyDescent="0.25">
      <c r="A574" t="s">
        <v>7</v>
      </c>
      <c r="B574" t="s">
        <v>6</v>
      </c>
    </row>
    <row r="576" spans="1:3" x14ac:dyDescent="0.25">
      <c r="A576" t="s">
        <v>4</v>
      </c>
      <c r="B576" t="s">
        <v>8</v>
      </c>
    </row>
    <row r="578" spans="1:2" x14ac:dyDescent="0.25">
      <c r="A578" t="s">
        <v>2</v>
      </c>
      <c r="B578" t="s">
        <v>1</v>
      </c>
    </row>
    <row r="580" spans="1:2" x14ac:dyDescent="0.25">
      <c r="A580" t="s">
        <v>4</v>
      </c>
      <c r="B580" t="s">
        <v>13</v>
      </c>
    </row>
    <row r="582" spans="1:2" x14ac:dyDescent="0.25">
      <c r="A582" t="s">
        <v>2</v>
      </c>
      <c r="B582" t="s">
        <v>14</v>
      </c>
    </row>
    <row r="584" spans="1:2" x14ac:dyDescent="0.25">
      <c r="A584" t="s">
        <v>4</v>
      </c>
      <c r="B584" t="s">
        <v>15</v>
      </c>
    </row>
    <row r="586" spans="1:2" x14ac:dyDescent="0.25">
      <c r="A586" t="s">
        <v>10</v>
      </c>
      <c r="B586" t="s">
        <v>19</v>
      </c>
    </row>
    <row r="588" spans="1:2" x14ac:dyDescent="0.25">
      <c r="A588" t="s">
        <v>2</v>
      </c>
      <c r="B588" t="s">
        <v>18</v>
      </c>
    </row>
    <row r="590" spans="1:2" x14ac:dyDescent="0.25">
      <c r="A590" t="s">
        <v>2</v>
      </c>
      <c r="B590" t="s">
        <v>22</v>
      </c>
    </row>
    <row r="592" spans="1:2" x14ac:dyDescent="0.25">
      <c r="A592" t="s">
        <v>17</v>
      </c>
      <c r="B592" t="s">
        <v>11</v>
      </c>
    </row>
    <row r="595" spans="1:3" x14ac:dyDescent="0.25">
      <c r="A595" t="s">
        <v>40</v>
      </c>
      <c r="C595" t="str">
        <f>IF(COUNTIF(A595:A627,"LAUNCH1.vbs"),"launch1","-")&amp;IF(COUNTIF(A595:A627,"LAUNCH2.vbs"),"launch2","-")&amp;IF(COUNTIF(A595:A627,"LAUNCH3.vbs"),"launch3","-")&amp;IF(COUNTIF(A595:A627,"LAUNCH4.vbs"),"launch4","-")&amp;IF(COUNTIF(A595:A627,"LAUNCH5.vbs"),"launch5","-")</f>
        <v>launch1launch2launch3launch4launch5</v>
      </c>
    </row>
    <row r="597" spans="1:3" x14ac:dyDescent="0.25">
      <c r="A597" t="s">
        <v>17</v>
      </c>
      <c r="B597" t="s">
        <v>22</v>
      </c>
    </row>
    <row r="599" spans="1:3" x14ac:dyDescent="0.25">
      <c r="A599" t="s">
        <v>2</v>
      </c>
      <c r="B599" t="s">
        <v>11</v>
      </c>
    </row>
    <row r="601" spans="1:3" x14ac:dyDescent="0.25">
      <c r="A601" t="s">
        <v>4</v>
      </c>
      <c r="B601" t="s">
        <v>15</v>
      </c>
    </row>
    <row r="603" spans="1:3" x14ac:dyDescent="0.25">
      <c r="A603" t="s">
        <v>7</v>
      </c>
      <c r="B603" t="s">
        <v>14</v>
      </c>
    </row>
    <row r="605" spans="1:3" x14ac:dyDescent="0.25">
      <c r="A605" t="s">
        <v>2</v>
      </c>
      <c r="B605" t="s">
        <v>16</v>
      </c>
    </row>
    <row r="607" spans="1:3" x14ac:dyDescent="0.25">
      <c r="A607" t="s">
        <v>20</v>
      </c>
      <c r="B607" t="s">
        <v>21</v>
      </c>
    </row>
    <row r="609" spans="1:2" x14ac:dyDescent="0.25">
      <c r="A609" t="s">
        <v>4</v>
      </c>
      <c r="B609" t="s">
        <v>13</v>
      </c>
    </row>
    <row r="611" spans="1:2" x14ac:dyDescent="0.25">
      <c r="A611" t="s">
        <v>10</v>
      </c>
      <c r="B611" t="s">
        <v>1</v>
      </c>
    </row>
    <row r="613" spans="1:2" x14ac:dyDescent="0.25">
      <c r="A613" t="s">
        <v>4</v>
      </c>
      <c r="B613" t="s">
        <v>8</v>
      </c>
    </row>
    <row r="615" spans="1:2" x14ac:dyDescent="0.25">
      <c r="A615" t="s">
        <v>2</v>
      </c>
      <c r="B615" t="s">
        <v>19</v>
      </c>
    </row>
    <row r="617" spans="1:2" x14ac:dyDescent="0.25">
      <c r="A617" t="s">
        <v>4</v>
      </c>
      <c r="B617" t="s">
        <v>3</v>
      </c>
    </row>
    <row r="619" spans="1:2" x14ac:dyDescent="0.25">
      <c r="A619" t="s">
        <v>4</v>
      </c>
      <c r="B619" t="s">
        <v>5</v>
      </c>
    </row>
    <row r="621" spans="1:2" x14ac:dyDescent="0.25">
      <c r="A621" t="s">
        <v>12</v>
      </c>
      <c r="B621" t="s">
        <v>18</v>
      </c>
    </row>
    <row r="623" spans="1:2" x14ac:dyDescent="0.25">
      <c r="A623" t="s">
        <v>2</v>
      </c>
      <c r="B623" t="s">
        <v>9</v>
      </c>
    </row>
    <row r="625" spans="1:3" x14ac:dyDescent="0.25">
      <c r="A625" t="s">
        <v>2</v>
      </c>
      <c r="B625" t="s">
        <v>6</v>
      </c>
    </row>
    <row r="628" spans="1:3" x14ac:dyDescent="0.25">
      <c r="A628" t="s">
        <v>41</v>
      </c>
      <c r="C628" t="str">
        <f>IF(COUNTIF(A628:A660,"LAUNCH1.vbs"),"launch1","-")&amp;IF(COUNTIF(A628:A660,"LAUNCH2.vbs"),"launch2","-")&amp;IF(COUNTIF(A628:A660,"LAUNCH3.vbs"),"launch3","-")&amp;IF(COUNTIF(A628:A660,"LAUNCH4.vbs"),"launch4","-")&amp;IF(COUNTIF(A628:A660,"LAUNCH5.vbs"),"launch5","-")</f>
        <v>launch1launch2launch3launch4launch5</v>
      </c>
    </row>
    <row r="630" spans="1:3" x14ac:dyDescent="0.25">
      <c r="A630" t="s">
        <v>7</v>
      </c>
      <c r="B630" t="s">
        <v>3</v>
      </c>
    </row>
    <row r="632" spans="1:3" x14ac:dyDescent="0.25">
      <c r="A632" t="s">
        <v>4</v>
      </c>
      <c r="B632" t="s">
        <v>16</v>
      </c>
    </row>
    <row r="634" spans="1:3" x14ac:dyDescent="0.25">
      <c r="A634" t="s">
        <v>4</v>
      </c>
      <c r="B634" t="s">
        <v>9</v>
      </c>
    </row>
    <row r="636" spans="1:3" x14ac:dyDescent="0.25">
      <c r="A636" t="s">
        <v>2</v>
      </c>
      <c r="B636" t="s">
        <v>14</v>
      </c>
    </row>
    <row r="638" spans="1:3" x14ac:dyDescent="0.25">
      <c r="A638" t="s">
        <v>2</v>
      </c>
      <c r="B638" t="s">
        <v>1</v>
      </c>
    </row>
    <row r="640" spans="1:3" x14ac:dyDescent="0.25">
      <c r="A640" t="s">
        <v>12</v>
      </c>
      <c r="B640" t="s">
        <v>5</v>
      </c>
    </row>
    <row r="642" spans="1:2" x14ac:dyDescent="0.25">
      <c r="A642" t="s">
        <v>2</v>
      </c>
      <c r="B642" t="s">
        <v>22</v>
      </c>
    </row>
    <row r="644" spans="1:2" x14ac:dyDescent="0.25">
      <c r="A644" t="s">
        <v>2</v>
      </c>
      <c r="B644" t="s">
        <v>21</v>
      </c>
    </row>
    <row r="646" spans="1:2" x14ac:dyDescent="0.25">
      <c r="A646" t="s">
        <v>17</v>
      </c>
      <c r="B646" t="s">
        <v>8</v>
      </c>
    </row>
    <row r="648" spans="1:2" x14ac:dyDescent="0.25">
      <c r="A648" t="s">
        <v>4</v>
      </c>
      <c r="B648" t="s">
        <v>6</v>
      </c>
    </row>
    <row r="650" spans="1:2" x14ac:dyDescent="0.25">
      <c r="A650" t="s">
        <v>2</v>
      </c>
      <c r="B650" t="s">
        <v>18</v>
      </c>
    </row>
    <row r="652" spans="1:2" x14ac:dyDescent="0.25">
      <c r="A652" t="s">
        <v>10</v>
      </c>
      <c r="B652" t="s">
        <v>13</v>
      </c>
    </row>
    <row r="654" spans="1:2" x14ac:dyDescent="0.25">
      <c r="A654" t="s">
        <v>4</v>
      </c>
      <c r="B654" t="s">
        <v>11</v>
      </c>
    </row>
    <row r="656" spans="1:2" x14ac:dyDescent="0.25">
      <c r="A656" t="s">
        <v>20</v>
      </c>
      <c r="B656" t="s">
        <v>15</v>
      </c>
    </row>
    <row r="658" spans="1:3" x14ac:dyDescent="0.25">
      <c r="A658" t="s">
        <v>4</v>
      </c>
      <c r="B658" t="s">
        <v>19</v>
      </c>
    </row>
    <row r="661" spans="1:3" x14ac:dyDescent="0.25">
      <c r="A661" t="s">
        <v>42</v>
      </c>
      <c r="C661" t="str">
        <f>IF(COUNTIF(A661:A693,"LAUNCH1.vbs"),"launch1","-")&amp;IF(COUNTIF(A661:A693,"LAUNCH2.vbs"),"launch2","-")&amp;IF(COUNTIF(A661:A693,"LAUNCH3.vbs"),"launch3","-")&amp;IF(COUNTIF(A661:A693,"LAUNCH4.vbs"),"launch4","-")&amp;IF(COUNTIF(A661:A693,"LAUNCH5.vbs"),"launch5","-")</f>
        <v>launch1launch2launch3launch4launch5</v>
      </c>
    </row>
    <row r="663" spans="1:3" x14ac:dyDescent="0.25">
      <c r="A663" t="s">
        <v>20</v>
      </c>
      <c r="B663" t="s">
        <v>13</v>
      </c>
    </row>
    <row r="665" spans="1:3" x14ac:dyDescent="0.25">
      <c r="A665" t="s">
        <v>7</v>
      </c>
      <c r="B665" t="s">
        <v>3</v>
      </c>
    </row>
    <row r="667" spans="1:3" x14ac:dyDescent="0.25">
      <c r="A667" t="s">
        <v>4</v>
      </c>
      <c r="B667" t="s">
        <v>22</v>
      </c>
    </row>
    <row r="669" spans="1:3" x14ac:dyDescent="0.25">
      <c r="A669" t="s">
        <v>4</v>
      </c>
      <c r="B669" t="s">
        <v>1</v>
      </c>
    </row>
    <row r="671" spans="1:3" x14ac:dyDescent="0.25">
      <c r="A671" t="s">
        <v>12</v>
      </c>
      <c r="B671" t="s">
        <v>5</v>
      </c>
    </row>
    <row r="673" spans="1:2" x14ac:dyDescent="0.25">
      <c r="A673" t="s">
        <v>4</v>
      </c>
      <c r="B673" t="s">
        <v>21</v>
      </c>
    </row>
    <row r="675" spans="1:2" x14ac:dyDescent="0.25">
      <c r="A675" t="s">
        <v>4</v>
      </c>
      <c r="B675" t="s">
        <v>18</v>
      </c>
    </row>
    <row r="677" spans="1:2" x14ac:dyDescent="0.25">
      <c r="A677" t="s">
        <v>2</v>
      </c>
      <c r="B677" t="s">
        <v>9</v>
      </c>
    </row>
    <row r="679" spans="1:2" x14ac:dyDescent="0.25">
      <c r="A679" t="s">
        <v>2</v>
      </c>
      <c r="B679" t="s">
        <v>19</v>
      </c>
    </row>
    <row r="681" spans="1:2" x14ac:dyDescent="0.25">
      <c r="A681" t="s">
        <v>10</v>
      </c>
      <c r="B681" t="s">
        <v>8</v>
      </c>
    </row>
    <row r="683" spans="1:2" x14ac:dyDescent="0.25">
      <c r="A683" t="s">
        <v>2</v>
      </c>
      <c r="B683" t="s">
        <v>6</v>
      </c>
    </row>
    <row r="685" spans="1:2" x14ac:dyDescent="0.25">
      <c r="A685" t="s">
        <v>2</v>
      </c>
      <c r="B685" t="s">
        <v>16</v>
      </c>
    </row>
    <row r="687" spans="1:2" x14ac:dyDescent="0.25">
      <c r="A687" t="s">
        <v>4</v>
      </c>
      <c r="B687" t="s">
        <v>14</v>
      </c>
    </row>
    <row r="689" spans="1:3" x14ac:dyDescent="0.25">
      <c r="A689" t="s">
        <v>2</v>
      </c>
      <c r="B689" t="s">
        <v>11</v>
      </c>
    </row>
    <row r="691" spans="1:3" x14ac:dyDescent="0.25">
      <c r="A691" t="s">
        <v>17</v>
      </c>
      <c r="B691" t="s">
        <v>15</v>
      </c>
    </row>
    <row r="694" spans="1:3" x14ac:dyDescent="0.25">
      <c r="A694" t="s">
        <v>43</v>
      </c>
      <c r="C694" t="str">
        <f>IF(COUNTIF(A694:A726,"LAUNCH1.vbs"),"launch1","-")&amp;IF(COUNTIF(A694:A726,"LAUNCH2.vbs"),"launch2","-")&amp;IF(COUNTIF(A694:A726,"LAUNCH3.vbs"),"launch3","-")&amp;IF(COUNTIF(A694:A726,"LAUNCH4.vbs"),"launch4","-")&amp;IF(COUNTIF(A694:A726,"LAUNCH5.vbs"),"launch5","-")</f>
        <v>launch1launch2launch3launch4launch5</v>
      </c>
    </row>
    <row r="696" spans="1:3" x14ac:dyDescent="0.25">
      <c r="A696" t="s">
        <v>4</v>
      </c>
      <c r="B696" t="s">
        <v>19</v>
      </c>
    </row>
    <row r="698" spans="1:3" x14ac:dyDescent="0.25">
      <c r="A698" t="s">
        <v>4</v>
      </c>
      <c r="B698" t="s">
        <v>16</v>
      </c>
    </row>
    <row r="700" spans="1:3" x14ac:dyDescent="0.25">
      <c r="A700" t="s">
        <v>2</v>
      </c>
      <c r="B700" t="s">
        <v>3</v>
      </c>
    </row>
    <row r="702" spans="1:3" x14ac:dyDescent="0.25">
      <c r="A702" t="s">
        <v>10</v>
      </c>
      <c r="B702" t="s">
        <v>21</v>
      </c>
    </row>
    <row r="704" spans="1:3" x14ac:dyDescent="0.25">
      <c r="A704" t="s">
        <v>2</v>
      </c>
      <c r="B704" t="s">
        <v>8</v>
      </c>
    </row>
    <row r="706" spans="1:2" x14ac:dyDescent="0.25">
      <c r="A706" t="s">
        <v>4</v>
      </c>
      <c r="B706" t="s">
        <v>6</v>
      </c>
    </row>
    <row r="708" spans="1:2" x14ac:dyDescent="0.25">
      <c r="A708" t="s">
        <v>2</v>
      </c>
      <c r="B708" t="s">
        <v>13</v>
      </c>
    </row>
    <row r="710" spans="1:2" x14ac:dyDescent="0.25">
      <c r="A710" t="s">
        <v>2</v>
      </c>
      <c r="B710" t="s">
        <v>5</v>
      </c>
    </row>
    <row r="712" spans="1:2" x14ac:dyDescent="0.25">
      <c r="A712" t="s">
        <v>4</v>
      </c>
      <c r="B712" t="s">
        <v>9</v>
      </c>
    </row>
    <row r="714" spans="1:2" x14ac:dyDescent="0.25">
      <c r="A714" t="s">
        <v>20</v>
      </c>
      <c r="B714" t="s">
        <v>14</v>
      </c>
    </row>
    <row r="716" spans="1:2" x14ac:dyDescent="0.25">
      <c r="A716" t="s">
        <v>12</v>
      </c>
      <c r="B716" t="s">
        <v>1</v>
      </c>
    </row>
    <row r="718" spans="1:2" x14ac:dyDescent="0.25">
      <c r="A718" t="s">
        <v>7</v>
      </c>
      <c r="B718" t="s">
        <v>22</v>
      </c>
    </row>
    <row r="720" spans="1:2" x14ac:dyDescent="0.25">
      <c r="A720" t="s">
        <v>2</v>
      </c>
      <c r="B720" t="s">
        <v>15</v>
      </c>
    </row>
    <row r="722" spans="1:3" x14ac:dyDescent="0.25">
      <c r="A722" t="s">
        <v>4</v>
      </c>
      <c r="B722" t="s">
        <v>11</v>
      </c>
    </row>
    <row r="724" spans="1:3" x14ac:dyDescent="0.25">
      <c r="A724" t="s">
        <v>17</v>
      </c>
      <c r="B724" t="s">
        <v>18</v>
      </c>
    </row>
    <row r="727" spans="1:3" x14ac:dyDescent="0.25">
      <c r="A727" t="s">
        <v>44</v>
      </c>
      <c r="C727" t="str">
        <f>IF(COUNTIF(A727:A759,"LAUNCH1.vbs"),"launch1","-")&amp;IF(COUNTIF(A727:A759,"LAUNCH2.vbs"),"launch2","-")&amp;IF(COUNTIF(A727:A759,"LAUNCH3.vbs"),"launch3","-")&amp;IF(COUNTIF(A727:A759,"LAUNCH4.vbs"),"launch4","-")&amp;IF(COUNTIF(A727:A759,"LAUNCH5.vbs"),"launch5","-")</f>
        <v>launch1launch2launch3launch4launch5</v>
      </c>
    </row>
    <row r="729" spans="1:3" x14ac:dyDescent="0.25">
      <c r="A729" t="s">
        <v>4</v>
      </c>
      <c r="B729" t="s">
        <v>16</v>
      </c>
    </row>
    <row r="731" spans="1:3" x14ac:dyDescent="0.25">
      <c r="A731" t="s">
        <v>2</v>
      </c>
      <c r="B731" t="s">
        <v>22</v>
      </c>
    </row>
    <row r="733" spans="1:3" x14ac:dyDescent="0.25">
      <c r="A733" t="s">
        <v>2</v>
      </c>
      <c r="B733" t="s">
        <v>1</v>
      </c>
    </row>
    <row r="735" spans="1:3" x14ac:dyDescent="0.25">
      <c r="A735" t="s">
        <v>10</v>
      </c>
      <c r="B735" t="s">
        <v>13</v>
      </c>
    </row>
    <row r="737" spans="1:2" x14ac:dyDescent="0.25">
      <c r="A737" t="s">
        <v>4</v>
      </c>
      <c r="B737" t="s">
        <v>11</v>
      </c>
    </row>
    <row r="739" spans="1:2" x14ac:dyDescent="0.25">
      <c r="A739" t="s">
        <v>12</v>
      </c>
      <c r="B739" t="s">
        <v>8</v>
      </c>
    </row>
    <row r="741" spans="1:2" x14ac:dyDescent="0.25">
      <c r="A741" t="s">
        <v>17</v>
      </c>
      <c r="B741" t="s">
        <v>5</v>
      </c>
    </row>
    <row r="743" spans="1:2" x14ac:dyDescent="0.25">
      <c r="A743" t="s">
        <v>2</v>
      </c>
      <c r="B743" t="s">
        <v>21</v>
      </c>
    </row>
    <row r="745" spans="1:2" x14ac:dyDescent="0.25">
      <c r="A745" t="s">
        <v>7</v>
      </c>
      <c r="B745" t="s">
        <v>15</v>
      </c>
    </row>
    <row r="747" spans="1:2" x14ac:dyDescent="0.25">
      <c r="A747" t="s">
        <v>4</v>
      </c>
      <c r="B747" t="s">
        <v>6</v>
      </c>
    </row>
    <row r="749" spans="1:2" x14ac:dyDescent="0.25">
      <c r="A749" t="s">
        <v>4</v>
      </c>
      <c r="B749" t="s">
        <v>9</v>
      </c>
    </row>
    <row r="751" spans="1:2" x14ac:dyDescent="0.25">
      <c r="A751" t="s">
        <v>4</v>
      </c>
      <c r="B751" t="s">
        <v>19</v>
      </c>
    </row>
    <row r="753" spans="1:3" x14ac:dyDescent="0.25">
      <c r="A753" t="s">
        <v>2</v>
      </c>
      <c r="B753" t="s">
        <v>18</v>
      </c>
    </row>
    <row r="755" spans="1:3" x14ac:dyDescent="0.25">
      <c r="A755" t="s">
        <v>20</v>
      </c>
      <c r="B755" t="s">
        <v>3</v>
      </c>
    </row>
    <row r="757" spans="1:3" x14ac:dyDescent="0.25">
      <c r="A757" t="s">
        <v>2</v>
      </c>
      <c r="B757" t="s">
        <v>14</v>
      </c>
    </row>
    <row r="760" spans="1:3" x14ac:dyDescent="0.25">
      <c r="A760" t="s">
        <v>45</v>
      </c>
      <c r="C760" t="str">
        <f>IF(COUNTIF(A760:A792,"LAUNCH1.vbs"),"launch1","-")&amp;IF(COUNTIF(A760:A792,"LAUNCH2.vbs"),"launch2","-")&amp;IF(COUNTIF(A760:A792,"LAUNCH3.vbs"),"launch3","-")&amp;IF(COUNTIF(A760:A792,"LAUNCH4.vbs"),"launch4","-")&amp;IF(COUNTIF(A760:A792,"LAUNCH5.vbs"),"launch5","-")</f>
        <v>launch1launch2launch3launch4launch5</v>
      </c>
    </row>
    <row r="762" spans="1:3" x14ac:dyDescent="0.25">
      <c r="A762" t="s">
        <v>2</v>
      </c>
      <c r="B762" t="s">
        <v>8</v>
      </c>
    </row>
    <row r="764" spans="1:3" x14ac:dyDescent="0.25">
      <c r="A764" t="s">
        <v>2</v>
      </c>
      <c r="B764" t="s">
        <v>15</v>
      </c>
    </row>
    <row r="766" spans="1:3" x14ac:dyDescent="0.25">
      <c r="A766" t="s">
        <v>2</v>
      </c>
      <c r="B766" t="s">
        <v>3</v>
      </c>
    </row>
    <row r="768" spans="1:3" x14ac:dyDescent="0.25">
      <c r="A768" t="s">
        <v>4</v>
      </c>
      <c r="B768" t="s">
        <v>22</v>
      </c>
    </row>
    <row r="770" spans="1:2" x14ac:dyDescent="0.25">
      <c r="A770" t="s">
        <v>4</v>
      </c>
      <c r="B770" t="s">
        <v>21</v>
      </c>
    </row>
    <row r="772" spans="1:2" x14ac:dyDescent="0.25">
      <c r="A772" t="s">
        <v>20</v>
      </c>
      <c r="B772" t="s">
        <v>6</v>
      </c>
    </row>
    <row r="774" spans="1:2" x14ac:dyDescent="0.25">
      <c r="A774" t="s">
        <v>10</v>
      </c>
      <c r="B774" t="s">
        <v>11</v>
      </c>
    </row>
    <row r="776" spans="1:2" x14ac:dyDescent="0.25">
      <c r="A776" t="s">
        <v>4</v>
      </c>
      <c r="B776" t="s">
        <v>18</v>
      </c>
    </row>
    <row r="778" spans="1:2" x14ac:dyDescent="0.25">
      <c r="A778" t="s">
        <v>4</v>
      </c>
      <c r="B778" t="s">
        <v>1</v>
      </c>
    </row>
    <row r="780" spans="1:2" x14ac:dyDescent="0.25">
      <c r="A780" t="s">
        <v>2</v>
      </c>
      <c r="B780" t="s">
        <v>13</v>
      </c>
    </row>
    <row r="782" spans="1:2" x14ac:dyDescent="0.25">
      <c r="A782" t="s">
        <v>4</v>
      </c>
      <c r="B782" t="s">
        <v>14</v>
      </c>
    </row>
    <row r="784" spans="1:2" x14ac:dyDescent="0.25">
      <c r="A784" t="s">
        <v>12</v>
      </c>
      <c r="B784" t="s">
        <v>19</v>
      </c>
    </row>
    <row r="786" spans="1:3" x14ac:dyDescent="0.25">
      <c r="A786" t="s">
        <v>2</v>
      </c>
      <c r="B786" t="s">
        <v>5</v>
      </c>
    </row>
    <row r="788" spans="1:3" x14ac:dyDescent="0.25">
      <c r="A788" t="s">
        <v>17</v>
      </c>
      <c r="B788" t="s">
        <v>9</v>
      </c>
    </row>
    <row r="790" spans="1:3" x14ac:dyDescent="0.25">
      <c r="A790" t="s">
        <v>7</v>
      </c>
      <c r="B790" t="s">
        <v>16</v>
      </c>
    </row>
    <row r="793" spans="1:3" x14ac:dyDescent="0.25">
      <c r="A793" t="s">
        <v>46</v>
      </c>
      <c r="C793" t="str">
        <f>IF(COUNTIF(A793:A825,"LAUNCH1.vbs"),"launch1","-")&amp;IF(COUNTIF(A793:A825,"LAUNCH2.vbs"),"launch2","-")&amp;IF(COUNTIF(A793:A825,"LAUNCH3.vbs"),"launch3","-")&amp;IF(COUNTIF(A793:A825,"LAUNCH4.vbs"),"launch4","-")&amp;IF(COUNTIF(A793:A825,"LAUNCH5.vbs"),"launch5","-")</f>
        <v>launch1launch2launch3launch4launch5</v>
      </c>
    </row>
    <row r="795" spans="1:3" x14ac:dyDescent="0.25">
      <c r="A795" t="s">
        <v>4</v>
      </c>
      <c r="B795" t="s">
        <v>5</v>
      </c>
    </row>
    <row r="797" spans="1:3" x14ac:dyDescent="0.25">
      <c r="A797" t="s">
        <v>17</v>
      </c>
      <c r="B797" t="s">
        <v>16</v>
      </c>
    </row>
    <row r="799" spans="1:3" x14ac:dyDescent="0.25">
      <c r="A799" t="s">
        <v>4</v>
      </c>
      <c r="B799" t="s">
        <v>8</v>
      </c>
    </row>
    <row r="801" spans="1:2" x14ac:dyDescent="0.25">
      <c r="A801" t="s">
        <v>4</v>
      </c>
      <c r="B801" t="s">
        <v>3</v>
      </c>
    </row>
    <row r="803" spans="1:2" x14ac:dyDescent="0.25">
      <c r="A803" t="s">
        <v>20</v>
      </c>
      <c r="B803" t="s">
        <v>11</v>
      </c>
    </row>
    <row r="805" spans="1:2" x14ac:dyDescent="0.25">
      <c r="A805" t="s">
        <v>2</v>
      </c>
      <c r="B805" t="s">
        <v>21</v>
      </c>
    </row>
    <row r="807" spans="1:2" x14ac:dyDescent="0.25">
      <c r="A807" t="s">
        <v>2</v>
      </c>
      <c r="B807" t="s">
        <v>14</v>
      </c>
    </row>
    <row r="809" spans="1:2" x14ac:dyDescent="0.25">
      <c r="A809" t="s">
        <v>2</v>
      </c>
      <c r="B809" t="s">
        <v>18</v>
      </c>
    </row>
    <row r="811" spans="1:2" x14ac:dyDescent="0.25">
      <c r="A811" t="s">
        <v>12</v>
      </c>
      <c r="B811" t="s">
        <v>9</v>
      </c>
    </row>
    <row r="813" spans="1:2" x14ac:dyDescent="0.25">
      <c r="A813" t="s">
        <v>4</v>
      </c>
      <c r="B813" t="s">
        <v>15</v>
      </c>
    </row>
    <row r="815" spans="1:2" x14ac:dyDescent="0.25">
      <c r="A815" t="s">
        <v>7</v>
      </c>
      <c r="B815" t="s">
        <v>19</v>
      </c>
    </row>
    <row r="817" spans="1:3" x14ac:dyDescent="0.25">
      <c r="A817" t="s">
        <v>10</v>
      </c>
      <c r="B817" t="s">
        <v>6</v>
      </c>
    </row>
    <row r="819" spans="1:3" x14ac:dyDescent="0.25">
      <c r="A819" t="s">
        <v>4</v>
      </c>
      <c r="B819" t="s">
        <v>13</v>
      </c>
    </row>
    <row r="821" spans="1:3" x14ac:dyDescent="0.25">
      <c r="A821" t="s">
        <v>2</v>
      </c>
      <c r="B821" t="s">
        <v>22</v>
      </c>
    </row>
    <row r="823" spans="1:3" x14ac:dyDescent="0.25">
      <c r="A823" t="s">
        <v>2</v>
      </c>
      <c r="B823" t="s">
        <v>1</v>
      </c>
    </row>
    <row r="826" spans="1:3" x14ac:dyDescent="0.25">
      <c r="A826" t="s">
        <v>47</v>
      </c>
      <c r="C826" t="str">
        <f>IF(COUNTIF(A826:A858,"LAUNCH1.vbs"),"launch1","-")&amp;IF(COUNTIF(A826:A858,"LAUNCH2.vbs"),"launch2","-")&amp;IF(COUNTIF(A826:A858,"LAUNCH3.vbs"),"launch3","-")&amp;IF(COUNTIF(A826:A858,"LAUNCH4.vbs"),"launch4","-")&amp;IF(COUNTIF(A826:A858,"LAUNCH5.vbs"),"launch5","-")</f>
        <v>launch1launch2launch3launch4launch5</v>
      </c>
    </row>
    <row r="828" spans="1:3" x14ac:dyDescent="0.25">
      <c r="A828" t="s">
        <v>2</v>
      </c>
      <c r="B828" t="s">
        <v>6</v>
      </c>
    </row>
    <row r="830" spans="1:3" x14ac:dyDescent="0.25">
      <c r="A830" t="s">
        <v>2</v>
      </c>
      <c r="B830" t="s">
        <v>9</v>
      </c>
    </row>
    <row r="832" spans="1:3" x14ac:dyDescent="0.25">
      <c r="A832" t="s">
        <v>4</v>
      </c>
      <c r="B832" t="s">
        <v>8</v>
      </c>
    </row>
    <row r="834" spans="1:2" x14ac:dyDescent="0.25">
      <c r="A834" t="s">
        <v>4</v>
      </c>
      <c r="B834" t="s">
        <v>13</v>
      </c>
    </row>
    <row r="836" spans="1:2" x14ac:dyDescent="0.25">
      <c r="A836" t="s">
        <v>17</v>
      </c>
      <c r="B836" t="s">
        <v>22</v>
      </c>
    </row>
    <row r="838" spans="1:2" x14ac:dyDescent="0.25">
      <c r="A838" t="s">
        <v>2</v>
      </c>
      <c r="B838" t="s">
        <v>16</v>
      </c>
    </row>
    <row r="840" spans="1:2" x14ac:dyDescent="0.25">
      <c r="A840" t="s">
        <v>4</v>
      </c>
      <c r="B840" t="s">
        <v>3</v>
      </c>
    </row>
    <row r="842" spans="1:2" x14ac:dyDescent="0.25">
      <c r="A842" t="s">
        <v>2</v>
      </c>
      <c r="B842" t="s">
        <v>19</v>
      </c>
    </row>
    <row r="844" spans="1:2" x14ac:dyDescent="0.25">
      <c r="A844" t="s">
        <v>10</v>
      </c>
      <c r="B844" t="s">
        <v>1</v>
      </c>
    </row>
    <row r="846" spans="1:2" x14ac:dyDescent="0.25">
      <c r="A846" t="s">
        <v>7</v>
      </c>
      <c r="B846" t="s">
        <v>18</v>
      </c>
    </row>
    <row r="848" spans="1:2" x14ac:dyDescent="0.25">
      <c r="A848" t="s">
        <v>4</v>
      </c>
      <c r="B848" t="s">
        <v>5</v>
      </c>
    </row>
    <row r="850" spans="1:3" x14ac:dyDescent="0.25">
      <c r="A850" t="s">
        <v>2</v>
      </c>
      <c r="B850" t="s">
        <v>11</v>
      </c>
    </row>
    <row r="852" spans="1:3" x14ac:dyDescent="0.25">
      <c r="A852" t="s">
        <v>12</v>
      </c>
      <c r="B852" t="s">
        <v>14</v>
      </c>
    </row>
    <row r="854" spans="1:3" x14ac:dyDescent="0.25">
      <c r="A854" t="s">
        <v>4</v>
      </c>
      <c r="B854" t="s">
        <v>15</v>
      </c>
    </row>
    <row r="856" spans="1:3" x14ac:dyDescent="0.25">
      <c r="A856" t="s">
        <v>20</v>
      </c>
      <c r="B856" t="s">
        <v>21</v>
      </c>
    </row>
    <row r="859" spans="1:3" x14ac:dyDescent="0.25">
      <c r="A859" t="s">
        <v>48</v>
      </c>
      <c r="C859" t="str">
        <f>IF(COUNTIF(A859:A891,"LAUNCH1.vbs"),"launch1","-")&amp;IF(COUNTIF(A859:A891,"LAUNCH2.vbs"),"launch2","-")&amp;IF(COUNTIF(A859:A891,"LAUNCH3.vbs"),"launch3","-")&amp;IF(COUNTIF(A859:A891,"LAUNCH4.vbs"),"launch4","-")&amp;IF(COUNTIF(A859:A891,"LAUNCH5.vbs"),"launch5","-")</f>
        <v>launch1launch2launch3launch4launch5</v>
      </c>
    </row>
    <row r="861" spans="1:3" x14ac:dyDescent="0.25">
      <c r="A861" t="s">
        <v>4</v>
      </c>
      <c r="B861" t="s">
        <v>6</v>
      </c>
    </row>
    <row r="863" spans="1:3" x14ac:dyDescent="0.25">
      <c r="A863" t="s">
        <v>4</v>
      </c>
      <c r="B863" t="s">
        <v>19</v>
      </c>
    </row>
    <row r="865" spans="1:2" x14ac:dyDescent="0.25">
      <c r="A865" t="s">
        <v>4</v>
      </c>
      <c r="B865" t="s">
        <v>9</v>
      </c>
    </row>
    <row r="867" spans="1:2" x14ac:dyDescent="0.25">
      <c r="A867" t="s">
        <v>7</v>
      </c>
      <c r="B867" t="s">
        <v>13</v>
      </c>
    </row>
    <row r="869" spans="1:2" x14ac:dyDescent="0.25">
      <c r="A869" t="s">
        <v>2</v>
      </c>
      <c r="B869" t="s">
        <v>22</v>
      </c>
    </row>
    <row r="871" spans="1:2" x14ac:dyDescent="0.25">
      <c r="A871" t="s">
        <v>10</v>
      </c>
      <c r="B871" t="s">
        <v>15</v>
      </c>
    </row>
    <row r="873" spans="1:2" x14ac:dyDescent="0.25">
      <c r="A873" t="s">
        <v>12</v>
      </c>
      <c r="B873" t="s">
        <v>3</v>
      </c>
    </row>
    <row r="875" spans="1:2" x14ac:dyDescent="0.25">
      <c r="A875" t="s">
        <v>4</v>
      </c>
      <c r="B875" t="s">
        <v>11</v>
      </c>
    </row>
    <row r="877" spans="1:2" x14ac:dyDescent="0.25">
      <c r="A877" t="s">
        <v>2</v>
      </c>
      <c r="B877" t="s">
        <v>18</v>
      </c>
    </row>
    <row r="879" spans="1:2" x14ac:dyDescent="0.25">
      <c r="A879" t="s">
        <v>2</v>
      </c>
      <c r="B879" t="s">
        <v>1</v>
      </c>
    </row>
    <row r="881" spans="1:3" x14ac:dyDescent="0.25">
      <c r="A881" t="s">
        <v>17</v>
      </c>
      <c r="B881" t="s">
        <v>5</v>
      </c>
    </row>
    <row r="883" spans="1:3" x14ac:dyDescent="0.25">
      <c r="A883" t="s">
        <v>4</v>
      </c>
      <c r="B883" t="s">
        <v>16</v>
      </c>
    </row>
    <row r="885" spans="1:3" x14ac:dyDescent="0.25">
      <c r="A885" t="s">
        <v>2</v>
      </c>
      <c r="B885" t="s">
        <v>21</v>
      </c>
    </row>
    <row r="887" spans="1:3" x14ac:dyDescent="0.25">
      <c r="A887" t="s">
        <v>20</v>
      </c>
      <c r="B887" t="s">
        <v>8</v>
      </c>
    </row>
    <row r="889" spans="1:3" x14ac:dyDescent="0.25">
      <c r="A889" t="s">
        <v>2</v>
      </c>
      <c r="B889" t="s">
        <v>14</v>
      </c>
    </row>
    <row r="892" spans="1:3" x14ac:dyDescent="0.25">
      <c r="A892" t="s">
        <v>49</v>
      </c>
      <c r="C892" t="str">
        <f>IF(COUNTIF(A892:A924,"LAUNCH1.vbs"),"launch1","-")&amp;IF(COUNTIF(A892:A924,"LAUNCH2.vbs"),"launch2","-")&amp;IF(COUNTIF(A892:A924,"LAUNCH3.vbs"),"launch3","-")&amp;IF(COUNTIF(A892:A924,"LAUNCH4.vbs"),"launch4","-")&amp;IF(COUNTIF(A892:A924,"LAUNCH5.vbs"),"launch5","-")</f>
        <v>launch1launch2launch3launch4launch5</v>
      </c>
    </row>
    <row r="894" spans="1:3" x14ac:dyDescent="0.25">
      <c r="A894" t="s">
        <v>2</v>
      </c>
      <c r="B894" t="s">
        <v>9</v>
      </c>
    </row>
    <row r="896" spans="1:3" x14ac:dyDescent="0.25">
      <c r="A896" t="s">
        <v>4</v>
      </c>
      <c r="B896" t="s">
        <v>21</v>
      </c>
    </row>
    <row r="898" spans="1:2" x14ac:dyDescent="0.25">
      <c r="A898" t="s">
        <v>2</v>
      </c>
      <c r="B898" t="s">
        <v>19</v>
      </c>
    </row>
    <row r="900" spans="1:2" x14ac:dyDescent="0.25">
      <c r="A900" t="s">
        <v>4</v>
      </c>
      <c r="B900" t="s">
        <v>1</v>
      </c>
    </row>
    <row r="902" spans="1:2" x14ac:dyDescent="0.25">
      <c r="A902" t="s">
        <v>4</v>
      </c>
      <c r="B902" t="s">
        <v>14</v>
      </c>
    </row>
    <row r="904" spans="1:2" x14ac:dyDescent="0.25">
      <c r="A904" t="s">
        <v>7</v>
      </c>
      <c r="B904" t="s">
        <v>8</v>
      </c>
    </row>
    <row r="906" spans="1:2" x14ac:dyDescent="0.25">
      <c r="A906" t="s">
        <v>4</v>
      </c>
      <c r="B906" t="s">
        <v>18</v>
      </c>
    </row>
    <row r="908" spans="1:2" x14ac:dyDescent="0.25">
      <c r="A908" t="s">
        <v>2</v>
      </c>
      <c r="B908" t="s">
        <v>11</v>
      </c>
    </row>
    <row r="910" spans="1:2" x14ac:dyDescent="0.25">
      <c r="A910" t="s">
        <v>20</v>
      </c>
      <c r="B910" t="s">
        <v>3</v>
      </c>
    </row>
    <row r="912" spans="1:2" x14ac:dyDescent="0.25">
      <c r="A912" t="s">
        <v>17</v>
      </c>
      <c r="B912" t="s">
        <v>5</v>
      </c>
    </row>
    <row r="914" spans="1:3" x14ac:dyDescent="0.25">
      <c r="A914" t="s">
        <v>4</v>
      </c>
      <c r="B914" t="s">
        <v>22</v>
      </c>
    </row>
    <row r="916" spans="1:3" x14ac:dyDescent="0.25">
      <c r="A916" t="s">
        <v>10</v>
      </c>
      <c r="B916" t="s">
        <v>13</v>
      </c>
    </row>
    <row r="918" spans="1:3" x14ac:dyDescent="0.25">
      <c r="A918" t="s">
        <v>12</v>
      </c>
      <c r="B918" t="s">
        <v>15</v>
      </c>
    </row>
    <row r="920" spans="1:3" x14ac:dyDescent="0.25">
      <c r="A920" t="s">
        <v>2</v>
      </c>
      <c r="B920" t="s">
        <v>6</v>
      </c>
    </row>
    <row r="922" spans="1:3" x14ac:dyDescent="0.25">
      <c r="A922" t="s">
        <v>2</v>
      </c>
      <c r="B922" t="s">
        <v>16</v>
      </c>
    </row>
    <row r="925" spans="1:3" x14ac:dyDescent="0.25">
      <c r="A925" t="s">
        <v>50</v>
      </c>
      <c r="C925" t="str">
        <f>IF(COUNTIF(A925:A957,"LAUNCH1.vbs"),"launch1","-")&amp;IF(COUNTIF(A925:A957,"LAUNCH2.vbs"),"launch2","-")&amp;IF(COUNTIF(A925:A957,"LAUNCH3.vbs"),"launch3","-")&amp;IF(COUNTIF(A925:A957,"LAUNCH4.vbs"),"launch4","-")&amp;IF(COUNTIF(A925:A957,"LAUNCH5.vbs"),"launch5","-")</f>
        <v>launch1launch2launch3launch4launch5</v>
      </c>
    </row>
    <row r="927" spans="1:3" x14ac:dyDescent="0.25">
      <c r="A927" t="s">
        <v>4</v>
      </c>
      <c r="B927" t="s">
        <v>19</v>
      </c>
    </row>
    <row r="929" spans="1:2" x14ac:dyDescent="0.25">
      <c r="A929" t="s">
        <v>17</v>
      </c>
      <c r="B929" t="s">
        <v>22</v>
      </c>
    </row>
    <row r="931" spans="1:2" x14ac:dyDescent="0.25">
      <c r="A931" t="s">
        <v>2</v>
      </c>
      <c r="B931" t="s">
        <v>3</v>
      </c>
    </row>
    <row r="933" spans="1:2" x14ac:dyDescent="0.25">
      <c r="A933" t="s">
        <v>4</v>
      </c>
      <c r="B933" t="s">
        <v>6</v>
      </c>
    </row>
    <row r="935" spans="1:2" x14ac:dyDescent="0.25">
      <c r="A935" t="s">
        <v>2</v>
      </c>
      <c r="B935" t="s">
        <v>8</v>
      </c>
    </row>
    <row r="937" spans="1:2" x14ac:dyDescent="0.25">
      <c r="A937" t="s">
        <v>7</v>
      </c>
      <c r="B937" t="s">
        <v>1</v>
      </c>
    </row>
    <row r="939" spans="1:2" x14ac:dyDescent="0.25">
      <c r="A939" t="s">
        <v>10</v>
      </c>
      <c r="B939" t="s">
        <v>18</v>
      </c>
    </row>
    <row r="941" spans="1:2" x14ac:dyDescent="0.25">
      <c r="A941" t="s">
        <v>4</v>
      </c>
      <c r="B941" t="s">
        <v>9</v>
      </c>
    </row>
    <row r="943" spans="1:2" x14ac:dyDescent="0.25">
      <c r="A943" t="s">
        <v>2</v>
      </c>
      <c r="B943" t="s">
        <v>5</v>
      </c>
    </row>
    <row r="945" spans="1:3" x14ac:dyDescent="0.25">
      <c r="A945" t="s">
        <v>2</v>
      </c>
      <c r="B945" t="s">
        <v>15</v>
      </c>
    </row>
    <row r="947" spans="1:3" x14ac:dyDescent="0.25">
      <c r="A947" t="s">
        <v>4</v>
      </c>
      <c r="B947" t="s">
        <v>11</v>
      </c>
    </row>
    <row r="949" spans="1:3" x14ac:dyDescent="0.25">
      <c r="A949" t="s">
        <v>12</v>
      </c>
      <c r="B949" t="s">
        <v>21</v>
      </c>
    </row>
    <row r="951" spans="1:3" x14ac:dyDescent="0.25">
      <c r="A951" t="s">
        <v>4</v>
      </c>
      <c r="B951" t="s">
        <v>16</v>
      </c>
    </row>
    <row r="953" spans="1:3" x14ac:dyDescent="0.25">
      <c r="A953" t="s">
        <v>20</v>
      </c>
      <c r="B953" t="s">
        <v>14</v>
      </c>
    </row>
    <row r="955" spans="1:3" x14ac:dyDescent="0.25">
      <c r="A955" t="s">
        <v>2</v>
      </c>
      <c r="B955" t="s">
        <v>13</v>
      </c>
    </row>
    <row r="958" spans="1:3" x14ac:dyDescent="0.25">
      <c r="A958" t="s">
        <v>51</v>
      </c>
      <c r="C958" t="str">
        <f>IF(COUNTIF(A958:A990,"LAUNCH1.vbs"),"launch1","-")&amp;IF(COUNTIF(A958:A990,"LAUNCH2.vbs"),"launch2","-")&amp;IF(COUNTIF(A958:A990,"LAUNCH3.vbs"),"launch3","-")&amp;IF(COUNTIF(A958:A990,"LAUNCH4.vbs"),"launch4","-")&amp;IF(COUNTIF(A958:A990,"LAUNCH5.vbs"),"launch5","-")</f>
        <v>launch1launch2launch3launch4launch5</v>
      </c>
    </row>
    <row r="960" spans="1:3" x14ac:dyDescent="0.25">
      <c r="A960" t="s">
        <v>2</v>
      </c>
      <c r="B960" t="s">
        <v>8</v>
      </c>
    </row>
    <row r="962" spans="1:2" x14ac:dyDescent="0.25">
      <c r="A962" t="s">
        <v>20</v>
      </c>
      <c r="B962" t="s">
        <v>16</v>
      </c>
    </row>
    <row r="964" spans="1:2" x14ac:dyDescent="0.25">
      <c r="A964" t="s">
        <v>2</v>
      </c>
      <c r="B964" t="s">
        <v>13</v>
      </c>
    </row>
    <row r="966" spans="1:2" x14ac:dyDescent="0.25">
      <c r="A966" t="s">
        <v>2</v>
      </c>
      <c r="B966" t="s">
        <v>15</v>
      </c>
    </row>
    <row r="968" spans="1:2" x14ac:dyDescent="0.25">
      <c r="A968" t="s">
        <v>10</v>
      </c>
      <c r="B968" t="s">
        <v>19</v>
      </c>
    </row>
    <row r="970" spans="1:2" x14ac:dyDescent="0.25">
      <c r="A970" t="s">
        <v>2</v>
      </c>
      <c r="B970" t="s">
        <v>3</v>
      </c>
    </row>
    <row r="972" spans="1:2" x14ac:dyDescent="0.25">
      <c r="A972" t="s">
        <v>2</v>
      </c>
      <c r="B972" t="s">
        <v>5</v>
      </c>
    </row>
    <row r="974" spans="1:2" x14ac:dyDescent="0.25">
      <c r="A974" t="s">
        <v>4</v>
      </c>
      <c r="B974" t="s">
        <v>1</v>
      </c>
    </row>
    <row r="976" spans="1:2" x14ac:dyDescent="0.25">
      <c r="A976" t="s">
        <v>4</v>
      </c>
      <c r="B976" t="s">
        <v>21</v>
      </c>
    </row>
    <row r="978" spans="1:3" x14ac:dyDescent="0.25">
      <c r="A978" t="s">
        <v>17</v>
      </c>
      <c r="B978" t="s">
        <v>6</v>
      </c>
    </row>
    <row r="980" spans="1:3" x14ac:dyDescent="0.25">
      <c r="A980" t="s">
        <v>4</v>
      </c>
      <c r="B980" t="s">
        <v>22</v>
      </c>
    </row>
    <row r="982" spans="1:3" x14ac:dyDescent="0.25">
      <c r="A982" t="s">
        <v>7</v>
      </c>
      <c r="B982" t="s">
        <v>9</v>
      </c>
    </row>
    <row r="984" spans="1:3" x14ac:dyDescent="0.25">
      <c r="A984" t="s">
        <v>12</v>
      </c>
      <c r="B984" t="s">
        <v>11</v>
      </c>
    </row>
    <row r="986" spans="1:3" x14ac:dyDescent="0.25">
      <c r="A986" t="s">
        <v>4</v>
      </c>
      <c r="B986" t="s">
        <v>18</v>
      </c>
    </row>
    <row r="988" spans="1:3" x14ac:dyDescent="0.25">
      <c r="A988" t="s">
        <v>4</v>
      </c>
      <c r="B988" t="s">
        <v>14</v>
      </c>
    </row>
    <row r="991" spans="1:3" x14ac:dyDescent="0.25">
      <c r="A991" t="s">
        <v>52</v>
      </c>
      <c r="C991" t="str">
        <f>IF(COUNTIF(A991:A1023,"LAUNCH1.vbs"),"launch1","-")&amp;IF(COUNTIF(A991:A1023,"LAUNCH2.vbs"),"launch2","-")&amp;IF(COUNTIF(A991:A1023,"LAUNCH3.vbs"),"launch3","-")&amp;IF(COUNTIF(A991:A1023,"LAUNCH4.vbs"),"launch4","-")&amp;IF(COUNTIF(A991:A1023,"LAUNCH5.vbs"),"launch5","-")</f>
        <v>launch1launch2launch3launch4launch5</v>
      </c>
    </row>
    <row r="993" spans="1:2" x14ac:dyDescent="0.25">
      <c r="A993" t="s">
        <v>4</v>
      </c>
      <c r="B993" t="s">
        <v>8</v>
      </c>
    </row>
    <row r="995" spans="1:2" x14ac:dyDescent="0.25">
      <c r="A995" t="s">
        <v>10</v>
      </c>
      <c r="B995" t="s">
        <v>11</v>
      </c>
    </row>
    <row r="997" spans="1:2" x14ac:dyDescent="0.25">
      <c r="A997" t="s">
        <v>2</v>
      </c>
      <c r="B997" t="s">
        <v>22</v>
      </c>
    </row>
    <row r="999" spans="1:2" x14ac:dyDescent="0.25">
      <c r="A999" t="s">
        <v>20</v>
      </c>
      <c r="B999" t="s">
        <v>16</v>
      </c>
    </row>
    <row r="1001" spans="1:2" x14ac:dyDescent="0.25">
      <c r="A1001" t="s">
        <v>2</v>
      </c>
      <c r="B1001" t="s">
        <v>21</v>
      </c>
    </row>
    <row r="1003" spans="1:2" x14ac:dyDescent="0.25">
      <c r="A1003" t="s">
        <v>4</v>
      </c>
      <c r="B1003" t="s">
        <v>15</v>
      </c>
    </row>
    <row r="1005" spans="1:2" x14ac:dyDescent="0.25">
      <c r="A1005" t="s">
        <v>4</v>
      </c>
      <c r="B1005" t="s">
        <v>3</v>
      </c>
    </row>
    <row r="1007" spans="1:2" x14ac:dyDescent="0.25">
      <c r="A1007" t="s">
        <v>17</v>
      </c>
      <c r="B1007" t="s">
        <v>19</v>
      </c>
    </row>
    <row r="1009" spans="1:3" x14ac:dyDescent="0.25">
      <c r="A1009" t="s">
        <v>12</v>
      </c>
      <c r="B1009" t="s">
        <v>9</v>
      </c>
    </row>
    <row r="1011" spans="1:3" x14ac:dyDescent="0.25">
      <c r="A1011" t="s">
        <v>7</v>
      </c>
      <c r="B1011" t="s">
        <v>6</v>
      </c>
    </row>
    <row r="1013" spans="1:3" x14ac:dyDescent="0.25">
      <c r="A1013" t="s">
        <v>4</v>
      </c>
      <c r="B1013" t="s">
        <v>13</v>
      </c>
    </row>
    <row r="1015" spans="1:3" x14ac:dyDescent="0.25">
      <c r="A1015" t="s">
        <v>2</v>
      </c>
      <c r="B1015" t="s">
        <v>18</v>
      </c>
    </row>
    <row r="1017" spans="1:3" x14ac:dyDescent="0.25">
      <c r="A1017" t="s">
        <v>2</v>
      </c>
      <c r="B1017" t="s">
        <v>14</v>
      </c>
    </row>
    <row r="1019" spans="1:3" x14ac:dyDescent="0.25">
      <c r="A1019" t="s">
        <v>2</v>
      </c>
      <c r="B1019" t="s">
        <v>1</v>
      </c>
    </row>
    <row r="1021" spans="1:3" x14ac:dyDescent="0.25">
      <c r="A1021" t="s">
        <v>4</v>
      </c>
      <c r="B1021" t="s">
        <v>5</v>
      </c>
    </row>
    <row r="1024" spans="1:3" x14ac:dyDescent="0.25">
      <c r="A1024" t="s">
        <v>53</v>
      </c>
      <c r="C1024" t="str">
        <f>IF(COUNTIF(A1024:A1056,"LAUNCH1.vbs"),"launch1","-")&amp;IF(COUNTIF(A1024:A1056,"LAUNCH2.vbs"),"launch2","-")&amp;IF(COUNTIF(A1024:A1056,"LAUNCH3.vbs"),"launch3","-")&amp;IF(COUNTIF(A1024:A1056,"LAUNCH4.vbs"),"launch4","-")&amp;IF(COUNTIF(A1024:A1056,"LAUNCH5.vbs"),"launch5","-")</f>
        <v>launch1launch2launch3launch4launch5</v>
      </c>
    </row>
    <row r="1026" spans="1:2" x14ac:dyDescent="0.25">
      <c r="A1026" t="s">
        <v>10</v>
      </c>
      <c r="B1026" t="s">
        <v>18</v>
      </c>
    </row>
    <row r="1028" spans="1:2" x14ac:dyDescent="0.25">
      <c r="A1028" t="s">
        <v>2</v>
      </c>
      <c r="B1028" t="s">
        <v>19</v>
      </c>
    </row>
    <row r="1030" spans="1:2" x14ac:dyDescent="0.25">
      <c r="A1030" t="s">
        <v>20</v>
      </c>
      <c r="B1030" t="s">
        <v>22</v>
      </c>
    </row>
    <row r="1032" spans="1:2" x14ac:dyDescent="0.25">
      <c r="A1032" t="s">
        <v>2</v>
      </c>
      <c r="B1032" t="s">
        <v>9</v>
      </c>
    </row>
    <row r="1034" spans="1:2" x14ac:dyDescent="0.25">
      <c r="A1034" t="s">
        <v>17</v>
      </c>
      <c r="B1034" t="s">
        <v>1</v>
      </c>
    </row>
    <row r="1036" spans="1:2" x14ac:dyDescent="0.25">
      <c r="A1036" t="s">
        <v>4</v>
      </c>
      <c r="B1036" t="s">
        <v>3</v>
      </c>
    </row>
    <row r="1038" spans="1:2" x14ac:dyDescent="0.25">
      <c r="A1038" t="s">
        <v>4</v>
      </c>
      <c r="B1038" t="s">
        <v>13</v>
      </c>
    </row>
    <row r="1040" spans="1:2" x14ac:dyDescent="0.25">
      <c r="A1040" t="s">
        <v>2</v>
      </c>
      <c r="B1040" t="s">
        <v>16</v>
      </c>
    </row>
    <row r="1042" spans="1:2" x14ac:dyDescent="0.25">
      <c r="A1042" t="s">
        <v>4</v>
      </c>
      <c r="B1042" t="s">
        <v>8</v>
      </c>
    </row>
    <row r="1044" spans="1:2" x14ac:dyDescent="0.25">
      <c r="A1044" t="s">
        <v>7</v>
      </c>
      <c r="B1044" t="s">
        <v>14</v>
      </c>
    </row>
    <row r="1046" spans="1:2" x14ac:dyDescent="0.25">
      <c r="A1046" t="s">
        <v>4</v>
      </c>
      <c r="B1046" t="s">
        <v>5</v>
      </c>
    </row>
    <row r="1048" spans="1:2" x14ac:dyDescent="0.25">
      <c r="A1048" t="s">
        <v>12</v>
      </c>
      <c r="B1048" t="s">
        <v>21</v>
      </c>
    </row>
    <row r="1050" spans="1:2" x14ac:dyDescent="0.25">
      <c r="A1050" t="s">
        <v>2</v>
      </c>
      <c r="B1050" t="s">
        <v>6</v>
      </c>
    </row>
    <row r="1052" spans="1:2" x14ac:dyDescent="0.25">
      <c r="A1052" t="s">
        <v>2</v>
      </c>
      <c r="B1052" t="s">
        <v>11</v>
      </c>
    </row>
    <row r="1054" spans="1:2" x14ac:dyDescent="0.25">
      <c r="A1054" t="s">
        <v>4</v>
      </c>
      <c r="B1054" t="s">
        <v>15</v>
      </c>
    </row>
    <row r="1057" spans="1:3" x14ac:dyDescent="0.25">
      <c r="A1057" t="s">
        <v>54</v>
      </c>
      <c r="C1057" t="str">
        <f>IF(COUNTIF(A1057:A1089,"LAUNCH1.vbs"),"launch1","-")&amp;IF(COUNTIF(A1057:A1089,"LAUNCH2.vbs"),"launch2","-")&amp;IF(COUNTIF(A1057:A1089,"LAUNCH3.vbs"),"launch3","-")&amp;IF(COUNTIF(A1057:A1089,"LAUNCH4.vbs"),"launch4","-")&amp;IF(COUNTIF(A1057:A1089,"LAUNCH5.vbs"),"launch5","-")</f>
        <v>launch1launch2launch3launch4launch5</v>
      </c>
    </row>
    <row r="1059" spans="1:3" x14ac:dyDescent="0.25">
      <c r="A1059" t="s">
        <v>12</v>
      </c>
      <c r="B1059" t="s">
        <v>8</v>
      </c>
    </row>
    <row r="1061" spans="1:3" x14ac:dyDescent="0.25">
      <c r="A1061" t="s">
        <v>10</v>
      </c>
      <c r="B1061" t="s">
        <v>5</v>
      </c>
    </row>
    <row r="1063" spans="1:3" x14ac:dyDescent="0.25">
      <c r="A1063" t="s">
        <v>4</v>
      </c>
      <c r="B1063" t="s">
        <v>6</v>
      </c>
    </row>
    <row r="1065" spans="1:3" x14ac:dyDescent="0.25">
      <c r="A1065" t="s">
        <v>17</v>
      </c>
      <c r="B1065" t="s">
        <v>3</v>
      </c>
    </row>
    <row r="1067" spans="1:3" x14ac:dyDescent="0.25">
      <c r="A1067" t="s">
        <v>2</v>
      </c>
      <c r="B1067" t="s">
        <v>21</v>
      </c>
    </row>
    <row r="1069" spans="1:3" x14ac:dyDescent="0.25">
      <c r="A1069" t="s">
        <v>4</v>
      </c>
      <c r="B1069" t="s">
        <v>19</v>
      </c>
    </row>
    <row r="1071" spans="1:3" x14ac:dyDescent="0.25">
      <c r="A1071" t="s">
        <v>20</v>
      </c>
      <c r="B1071" t="s">
        <v>15</v>
      </c>
    </row>
    <row r="1073" spans="1:2" x14ac:dyDescent="0.25">
      <c r="A1073" t="s">
        <v>4</v>
      </c>
      <c r="B1073" t="s">
        <v>11</v>
      </c>
    </row>
    <row r="1075" spans="1:2" x14ac:dyDescent="0.25">
      <c r="A1075" t="s">
        <v>4</v>
      </c>
      <c r="B1075" t="s">
        <v>9</v>
      </c>
    </row>
    <row r="1077" spans="1:2" x14ac:dyDescent="0.25">
      <c r="A1077" t="s">
        <v>7</v>
      </c>
      <c r="B1077" t="s">
        <v>13</v>
      </c>
    </row>
    <row r="1079" spans="1:2" x14ac:dyDescent="0.25">
      <c r="A1079" t="s">
        <v>2</v>
      </c>
      <c r="B1079" t="s">
        <v>1</v>
      </c>
    </row>
    <row r="1081" spans="1:2" x14ac:dyDescent="0.25">
      <c r="A1081" t="s">
        <v>2</v>
      </c>
      <c r="B1081" t="s">
        <v>18</v>
      </c>
    </row>
    <row r="1083" spans="1:2" x14ac:dyDescent="0.25">
      <c r="A1083" t="s">
        <v>2</v>
      </c>
      <c r="B1083" t="s">
        <v>22</v>
      </c>
    </row>
    <row r="1085" spans="1:2" x14ac:dyDescent="0.25">
      <c r="A1085" t="s">
        <v>2</v>
      </c>
      <c r="B1085" t="s">
        <v>14</v>
      </c>
    </row>
    <row r="1087" spans="1:2" x14ac:dyDescent="0.25">
      <c r="A1087" t="s">
        <v>4</v>
      </c>
      <c r="B1087" t="s">
        <v>16</v>
      </c>
    </row>
    <row r="1090" spans="1:3" x14ac:dyDescent="0.25">
      <c r="A1090" t="s">
        <v>55</v>
      </c>
      <c r="C1090" t="str">
        <f>IF(COUNTIF(A1090:A1122,"LAUNCH1.vbs"),"launch1","-")&amp;IF(COUNTIF(A1090:A1122,"LAUNCH2.vbs"),"launch2","-")&amp;IF(COUNTIF(A1090:A1122,"LAUNCH3.vbs"),"launch3","-")&amp;IF(COUNTIF(A1090:A1122,"LAUNCH4.vbs"),"launch4","-")&amp;IF(COUNTIF(A1090:A1122,"LAUNCH5.vbs"),"launch5","-")</f>
        <v>launch1launch2launch3launch4launch5</v>
      </c>
    </row>
    <row r="1092" spans="1:3" x14ac:dyDescent="0.25">
      <c r="A1092" t="s">
        <v>2</v>
      </c>
      <c r="B1092" t="s">
        <v>19</v>
      </c>
    </row>
    <row r="1094" spans="1:3" x14ac:dyDescent="0.25">
      <c r="A1094" t="s">
        <v>4</v>
      </c>
      <c r="B1094" t="s">
        <v>18</v>
      </c>
    </row>
    <row r="1096" spans="1:3" x14ac:dyDescent="0.25">
      <c r="A1096" t="s">
        <v>2</v>
      </c>
      <c r="B1096" t="s">
        <v>6</v>
      </c>
    </row>
    <row r="1098" spans="1:3" x14ac:dyDescent="0.25">
      <c r="A1098" t="s">
        <v>17</v>
      </c>
      <c r="B1098" t="s">
        <v>5</v>
      </c>
    </row>
    <row r="1100" spans="1:3" x14ac:dyDescent="0.25">
      <c r="A1100" t="s">
        <v>2</v>
      </c>
      <c r="B1100" t="s">
        <v>16</v>
      </c>
    </row>
    <row r="1102" spans="1:3" x14ac:dyDescent="0.25">
      <c r="A1102" t="s">
        <v>4</v>
      </c>
      <c r="B1102" t="s">
        <v>14</v>
      </c>
    </row>
    <row r="1104" spans="1:3" x14ac:dyDescent="0.25">
      <c r="A1104" t="s">
        <v>2</v>
      </c>
      <c r="B1104" t="s">
        <v>11</v>
      </c>
    </row>
    <row r="1106" spans="1:2" x14ac:dyDescent="0.25">
      <c r="A1106" t="s">
        <v>4</v>
      </c>
      <c r="B1106" t="s">
        <v>21</v>
      </c>
    </row>
    <row r="1108" spans="1:2" x14ac:dyDescent="0.25">
      <c r="A1108" t="s">
        <v>10</v>
      </c>
      <c r="B1108" t="s">
        <v>3</v>
      </c>
    </row>
    <row r="1110" spans="1:2" x14ac:dyDescent="0.25">
      <c r="A1110" t="s">
        <v>20</v>
      </c>
      <c r="B1110" t="s">
        <v>13</v>
      </c>
    </row>
    <row r="1112" spans="1:2" x14ac:dyDescent="0.25">
      <c r="A1112" t="s">
        <v>2</v>
      </c>
      <c r="B1112" t="s">
        <v>9</v>
      </c>
    </row>
    <row r="1114" spans="1:2" x14ac:dyDescent="0.25">
      <c r="A1114" t="s">
        <v>7</v>
      </c>
      <c r="B1114" t="s">
        <v>15</v>
      </c>
    </row>
    <row r="1116" spans="1:2" x14ac:dyDescent="0.25">
      <c r="A1116" t="s">
        <v>4</v>
      </c>
      <c r="B1116" t="s">
        <v>22</v>
      </c>
    </row>
    <row r="1118" spans="1:2" x14ac:dyDescent="0.25">
      <c r="A1118" t="s">
        <v>12</v>
      </c>
      <c r="B1118" t="s">
        <v>8</v>
      </c>
    </row>
    <row r="1120" spans="1:2" x14ac:dyDescent="0.25">
      <c r="A1120" t="s">
        <v>4</v>
      </c>
      <c r="B1120" t="s">
        <v>1</v>
      </c>
    </row>
    <row r="1123" spans="1:3" x14ac:dyDescent="0.25">
      <c r="A1123" t="s">
        <v>56</v>
      </c>
      <c r="C1123" t="str">
        <f>IF(COUNTIF(A1123:A1155,"LAUNCH1.vbs"),"launch1","-")&amp;IF(COUNTIF(A1123:A1155,"LAUNCH2.vbs"),"launch2","-")&amp;IF(COUNTIF(A1123:A1155,"LAUNCH3.vbs"),"launch3","-")&amp;IF(COUNTIF(A1123:A1155,"LAUNCH4.vbs"),"launch4","-")&amp;IF(COUNTIF(A1123:A1155,"LAUNCH5.vbs"),"launch5","-")</f>
        <v>launch1launch2launch3launch4launch5</v>
      </c>
    </row>
    <row r="1125" spans="1:3" x14ac:dyDescent="0.25">
      <c r="A1125" t="s">
        <v>20</v>
      </c>
      <c r="B1125" t="s">
        <v>13</v>
      </c>
    </row>
    <row r="1127" spans="1:3" x14ac:dyDescent="0.25">
      <c r="A1127" t="s">
        <v>4</v>
      </c>
      <c r="B1127" t="s">
        <v>14</v>
      </c>
    </row>
    <row r="1129" spans="1:3" x14ac:dyDescent="0.25">
      <c r="A1129" t="s">
        <v>4</v>
      </c>
      <c r="B1129" t="s">
        <v>22</v>
      </c>
    </row>
    <row r="1131" spans="1:3" x14ac:dyDescent="0.25">
      <c r="A1131" t="s">
        <v>4</v>
      </c>
      <c r="B1131" t="s">
        <v>1</v>
      </c>
    </row>
    <row r="1133" spans="1:3" x14ac:dyDescent="0.25">
      <c r="A1133" t="s">
        <v>2</v>
      </c>
      <c r="B1133" t="s">
        <v>9</v>
      </c>
    </row>
    <row r="1135" spans="1:3" x14ac:dyDescent="0.25">
      <c r="A1135" t="s">
        <v>12</v>
      </c>
      <c r="B1135" t="s">
        <v>8</v>
      </c>
    </row>
    <row r="1137" spans="1:2" x14ac:dyDescent="0.25">
      <c r="A1137" t="s">
        <v>2</v>
      </c>
      <c r="B1137" t="s">
        <v>6</v>
      </c>
    </row>
    <row r="1139" spans="1:2" x14ac:dyDescent="0.25">
      <c r="A1139" t="s">
        <v>4</v>
      </c>
      <c r="B1139" t="s">
        <v>21</v>
      </c>
    </row>
    <row r="1141" spans="1:2" x14ac:dyDescent="0.25">
      <c r="A1141" t="s">
        <v>2</v>
      </c>
      <c r="B1141" t="s">
        <v>11</v>
      </c>
    </row>
    <row r="1143" spans="1:2" x14ac:dyDescent="0.25">
      <c r="A1143" t="s">
        <v>17</v>
      </c>
      <c r="B1143" t="s">
        <v>5</v>
      </c>
    </row>
    <row r="1145" spans="1:2" x14ac:dyDescent="0.25">
      <c r="A1145" t="s">
        <v>2</v>
      </c>
      <c r="B1145" t="s">
        <v>19</v>
      </c>
    </row>
    <row r="1147" spans="1:2" x14ac:dyDescent="0.25">
      <c r="A1147" t="s">
        <v>2</v>
      </c>
      <c r="B1147" t="s">
        <v>16</v>
      </c>
    </row>
    <row r="1149" spans="1:2" x14ac:dyDescent="0.25">
      <c r="A1149" t="s">
        <v>7</v>
      </c>
      <c r="B1149" t="s">
        <v>3</v>
      </c>
    </row>
    <row r="1151" spans="1:2" x14ac:dyDescent="0.25">
      <c r="A1151" t="s">
        <v>10</v>
      </c>
      <c r="B1151" t="s">
        <v>15</v>
      </c>
    </row>
    <row r="1153" spans="1:3" x14ac:dyDescent="0.25">
      <c r="A1153" t="s">
        <v>4</v>
      </c>
      <c r="B1153" t="s">
        <v>18</v>
      </c>
    </row>
    <row r="1156" spans="1:3" x14ac:dyDescent="0.25">
      <c r="A1156" t="s">
        <v>57</v>
      </c>
      <c r="C1156" t="str">
        <f>IF(COUNTIF(A1156:A1188,"LAUNCH1.vbs"),"launch1","-")&amp;IF(COUNTIF(A1156:A1188,"LAUNCH2.vbs"),"launch2","-")&amp;IF(COUNTIF(A1156:A1188,"LAUNCH3.vbs"),"launch3","-")&amp;IF(COUNTIF(A1156:A1188,"LAUNCH4.vbs"),"launch4","-")&amp;IF(COUNTIF(A1156:A1188,"LAUNCH5.vbs"),"launch5","-")</f>
        <v>launch1launch2launch3launch4launch5</v>
      </c>
    </row>
    <row r="1158" spans="1:3" x14ac:dyDescent="0.25">
      <c r="A1158" t="s">
        <v>2</v>
      </c>
      <c r="B1158" t="s">
        <v>5</v>
      </c>
    </row>
    <row r="1160" spans="1:3" x14ac:dyDescent="0.25">
      <c r="A1160" t="s">
        <v>4</v>
      </c>
      <c r="B1160" t="s">
        <v>16</v>
      </c>
    </row>
    <row r="1162" spans="1:3" x14ac:dyDescent="0.25">
      <c r="A1162" t="s">
        <v>4</v>
      </c>
      <c r="B1162" t="s">
        <v>9</v>
      </c>
    </row>
    <row r="1164" spans="1:3" x14ac:dyDescent="0.25">
      <c r="A1164" t="s">
        <v>2</v>
      </c>
      <c r="B1164" t="s">
        <v>13</v>
      </c>
    </row>
    <row r="1166" spans="1:3" x14ac:dyDescent="0.25">
      <c r="A1166" t="s">
        <v>20</v>
      </c>
      <c r="B1166" t="s">
        <v>1</v>
      </c>
    </row>
    <row r="1168" spans="1:3" x14ac:dyDescent="0.25">
      <c r="A1168" t="s">
        <v>2</v>
      </c>
      <c r="B1168" t="s">
        <v>3</v>
      </c>
    </row>
    <row r="1170" spans="1:2" x14ac:dyDescent="0.25">
      <c r="A1170" t="s">
        <v>4</v>
      </c>
      <c r="B1170" t="s">
        <v>11</v>
      </c>
    </row>
    <row r="1172" spans="1:2" x14ac:dyDescent="0.25">
      <c r="A1172" t="s">
        <v>7</v>
      </c>
      <c r="B1172" t="s">
        <v>22</v>
      </c>
    </row>
    <row r="1174" spans="1:2" x14ac:dyDescent="0.25">
      <c r="A1174" t="s">
        <v>10</v>
      </c>
      <c r="B1174" t="s">
        <v>18</v>
      </c>
    </row>
    <row r="1176" spans="1:2" x14ac:dyDescent="0.25">
      <c r="A1176" t="s">
        <v>2</v>
      </c>
      <c r="B1176" t="s">
        <v>15</v>
      </c>
    </row>
    <row r="1178" spans="1:2" x14ac:dyDescent="0.25">
      <c r="A1178" t="s">
        <v>17</v>
      </c>
      <c r="B1178" t="s">
        <v>14</v>
      </c>
    </row>
    <row r="1180" spans="1:2" x14ac:dyDescent="0.25">
      <c r="A1180" t="s">
        <v>4</v>
      </c>
      <c r="B1180" t="s">
        <v>19</v>
      </c>
    </row>
    <row r="1182" spans="1:2" x14ac:dyDescent="0.25">
      <c r="A1182" t="s">
        <v>4</v>
      </c>
      <c r="B1182" t="s">
        <v>6</v>
      </c>
    </row>
    <row r="1184" spans="1:2" x14ac:dyDescent="0.25">
      <c r="A1184" t="s">
        <v>2</v>
      </c>
      <c r="B1184" t="s">
        <v>8</v>
      </c>
    </row>
    <row r="1186" spans="1:3" x14ac:dyDescent="0.25">
      <c r="A1186" t="s">
        <v>12</v>
      </c>
      <c r="B1186" t="s">
        <v>21</v>
      </c>
    </row>
    <row r="1189" spans="1:3" x14ac:dyDescent="0.25">
      <c r="A1189" t="s">
        <v>58</v>
      </c>
      <c r="C1189" t="str">
        <f>IF(COUNTIF(A1189:A1221,"LAUNCH1.vbs"),"launch1","-")&amp;IF(COUNTIF(A1189:A1221,"LAUNCH2.vbs"),"launch2","-")&amp;IF(COUNTIF(A1189:A1221,"LAUNCH3.vbs"),"launch3","-")&amp;IF(COUNTIF(A1189:A1221,"LAUNCH4.vbs"),"launch4","-")&amp;IF(COUNTIF(A1189:A1221,"LAUNCH5.vbs"),"launch5","-")</f>
        <v>launch1launch2launch3launch4launch5</v>
      </c>
    </row>
    <row r="1191" spans="1:3" x14ac:dyDescent="0.25">
      <c r="A1191" t="s">
        <v>17</v>
      </c>
      <c r="B1191" t="s">
        <v>6</v>
      </c>
    </row>
    <row r="1193" spans="1:3" x14ac:dyDescent="0.25">
      <c r="A1193" t="s">
        <v>4</v>
      </c>
      <c r="B1193" t="s">
        <v>18</v>
      </c>
    </row>
    <row r="1195" spans="1:3" x14ac:dyDescent="0.25">
      <c r="A1195" t="s">
        <v>2</v>
      </c>
      <c r="B1195" t="s">
        <v>8</v>
      </c>
    </row>
    <row r="1197" spans="1:3" x14ac:dyDescent="0.25">
      <c r="A1197" t="s">
        <v>7</v>
      </c>
      <c r="B1197" t="s">
        <v>11</v>
      </c>
    </row>
    <row r="1199" spans="1:3" x14ac:dyDescent="0.25">
      <c r="A1199" t="s">
        <v>10</v>
      </c>
      <c r="B1199" t="s">
        <v>19</v>
      </c>
    </row>
    <row r="1201" spans="1:2" x14ac:dyDescent="0.25">
      <c r="A1201" t="s">
        <v>2</v>
      </c>
      <c r="B1201" t="s">
        <v>3</v>
      </c>
    </row>
    <row r="1203" spans="1:2" x14ac:dyDescent="0.25">
      <c r="A1203" t="s">
        <v>2</v>
      </c>
      <c r="B1203" t="s">
        <v>15</v>
      </c>
    </row>
    <row r="1205" spans="1:2" x14ac:dyDescent="0.25">
      <c r="A1205" t="s">
        <v>20</v>
      </c>
      <c r="B1205" t="s">
        <v>16</v>
      </c>
    </row>
    <row r="1207" spans="1:2" x14ac:dyDescent="0.25">
      <c r="A1207" t="s">
        <v>4</v>
      </c>
      <c r="B1207" t="s">
        <v>22</v>
      </c>
    </row>
    <row r="1209" spans="1:2" x14ac:dyDescent="0.25">
      <c r="A1209" t="s">
        <v>2</v>
      </c>
      <c r="B1209" t="s">
        <v>13</v>
      </c>
    </row>
    <row r="1211" spans="1:2" x14ac:dyDescent="0.25">
      <c r="A1211" t="s">
        <v>2</v>
      </c>
      <c r="B1211" t="s">
        <v>5</v>
      </c>
    </row>
    <row r="1213" spans="1:2" x14ac:dyDescent="0.25">
      <c r="A1213" t="s">
        <v>12</v>
      </c>
      <c r="B1213" t="s">
        <v>9</v>
      </c>
    </row>
    <row r="1215" spans="1:2" x14ac:dyDescent="0.25">
      <c r="A1215" t="s">
        <v>4</v>
      </c>
      <c r="B1215" t="s">
        <v>14</v>
      </c>
    </row>
    <row r="1217" spans="1:3" x14ac:dyDescent="0.25">
      <c r="A1217" t="s">
        <v>4</v>
      </c>
      <c r="B1217" t="s">
        <v>21</v>
      </c>
    </row>
    <row r="1219" spans="1:3" x14ac:dyDescent="0.25">
      <c r="A1219" t="s">
        <v>4</v>
      </c>
      <c r="B1219" t="s">
        <v>1</v>
      </c>
    </row>
    <row r="1222" spans="1:3" x14ac:dyDescent="0.25">
      <c r="A1222" t="s">
        <v>59</v>
      </c>
      <c r="C1222" t="str">
        <f>IF(COUNTIF(A1222:A1254,"LAUNCH1.vbs"),"launch1","-")&amp;IF(COUNTIF(A1222:A1254,"LAUNCH2.vbs"),"launch2","-")&amp;IF(COUNTIF(A1222:A1254,"LAUNCH3.vbs"),"launch3","-")&amp;IF(COUNTIF(A1222:A1254,"LAUNCH4.vbs"),"launch4","-")&amp;IF(COUNTIF(A1222:A1254,"LAUNCH5.vbs"),"launch5","-")</f>
        <v>launch1launch2launch3launch4launch5</v>
      </c>
    </row>
    <row r="1224" spans="1:3" x14ac:dyDescent="0.25">
      <c r="A1224" t="s">
        <v>4</v>
      </c>
      <c r="B1224" t="s">
        <v>15</v>
      </c>
    </row>
    <row r="1226" spans="1:3" x14ac:dyDescent="0.25">
      <c r="A1226" t="s">
        <v>20</v>
      </c>
      <c r="B1226" t="s">
        <v>9</v>
      </c>
    </row>
    <row r="1228" spans="1:3" x14ac:dyDescent="0.25">
      <c r="A1228" t="s">
        <v>4</v>
      </c>
      <c r="B1228" t="s">
        <v>3</v>
      </c>
    </row>
    <row r="1230" spans="1:3" x14ac:dyDescent="0.25">
      <c r="A1230" t="s">
        <v>2</v>
      </c>
      <c r="B1230" t="s">
        <v>14</v>
      </c>
    </row>
    <row r="1232" spans="1:3" x14ac:dyDescent="0.25">
      <c r="A1232" t="s">
        <v>2</v>
      </c>
      <c r="B1232" t="s">
        <v>1</v>
      </c>
    </row>
    <row r="1234" spans="1:2" x14ac:dyDescent="0.25">
      <c r="A1234" t="s">
        <v>2</v>
      </c>
      <c r="B1234" t="s">
        <v>22</v>
      </c>
    </row>
    <row r="1236" spans="1:2" x14ac:dyDescent="0.25">
      <c r="A1236" t="s">
        <v>2</v>
      </c>
      <c r="B1236" t="s">
        <v>18</v>
      </c>
    </row>
    <row r="1238" spans="1:2" x14ac:dyDescent="0.25">
      <c r="A1238" t="s">
        <v>7</v>
      </c>
      <c r="B1238" t="s">
        <v>19</v>
      </c>
    </row>
    <row r="1240" spans="1:2" x14ac:dyDescent="0.25">
      <c r="A1240" t="s">
        <v>12</v>
      </c>
      <c r="B1240" t="s">
        <v>11</v>
      </c>
    </row>
    <row r="1242" spans="1:2" x14ac:dyDescent="0.25">
      <c r="A1242" t="s">
        <v>10</v>
      </c>
      <c r="B1242" t="s">
        <v>16</v>
      </c>
    </row>
    <row r="1244" spans="1:2" x14ac:dyDescent="0.25">
      <c r="A1244" t="s">
        <v>4</v>
      </c>
      <c r="B1244" t="s">
        <v>5</v>
      </c>
    </row>
    <row r="1246" spans="1:2" x14ac:dyDescent="0.25">
      <c r="A1246" t="s">
        <v>17</v>
      </c>
      <c r="B1246" t="s">
        <v>6</v>
      </c>
    </row>
    <row r="1248" spans="1:2" x14ac:dyDescent="0.25">
      <c r="A1248" t="s">
        <v>4</v>
      </c>
      <c r="B1248" t="s">
        <v>13</v>
      </c>
    </row>
    <row r="1250" spans="1:3" x14ac:dyDescent="0.25">
      <c r="A1250" t="s">
        <v>4</v>
      </c>
      <c r="B1250" t="s">
        <v>8</v>
      </c>
    </row>
    <row r="1252" spans="1:3" x14ac:dyDescent="0.25">
      <c r="A1252" t="s">
        <v>2</v>
      </c>
      <c r="B1252" t="s">
        <v>21</v>
      </c>
    </row>
    <row r="1255" spans="1:3" x14ac:dyDescent="0.25">
      <c r="A1255" t="s">
        <v>60</v>
      </c>
      <c r="C1255" t="str">
        <f>IF(COUNTIF(A1255:A1287,"LAUNCH1.vbs"),"launch1","-")&amp;IF(COUNTIF(A1255:A1287,"LAUNCH2.vbs"),"launch2","-")&amp;IF(COUNTIF(A1255:A1287,"LAUNCH3.vbs"),"launch3","-")&amp;IF(COUNTIF(A1255:A1287,"LAUNCH4.vbs"),"launch4","-")&amp;IF(COUNTIF(A1255:A1287,"LAUNCH5.vbs"),"launch5","-")</f>
        <v>launch1launch2launch3launch4launch5</v>
      </c>
    </row>
    <row r="1257" spans="1:3" x14ac:dyDescent="0.25">
      <c r="A1257" t="s">
        <v>10</v>
      </c>
      <c r="B1257" t="s">
        <v>1</v>
      </c>
    </row>
    <row r="1259" spans="1:3" x14ac:dyDescent="0.25">
      <c r="A1259" t="s">
        <v>12</v>
      </c>
      <c r="B1259" t="s">
        <v>21</v>
      </c>
    </row>
    <row r="1261" spans="1:3" x14ac:dyDescent="0.25">
      <c r="A1261" t="s">
        <v>4</v>
      </c>
      <c r="B1261" t="s">
        <v>8</v>
      </c>
    </row>
    <row r="1263" spans="1:3" x14ac:dyDescent="0.25">
      <c r="A1263" t="s">
        <v>4</v>
      </c>
      <c r="B1263" t="s">
        <v>3</v>
      </c>
    </row>
    <row r="1265" spans="1:2" x14ac:dyDescent="0.25">
      <c r="A1265" t="s">
        <v>2</v>
      </c>
      <c r="B1265" t="s">
        <v>16</v>
      </c>
    </row>
    <row r="1267" spans="1:2" x14ac:dyDescent="0.25">
      <c r="A1267" t="s">
        <v>2</v>
      </c>
      <c r="B1267" t="s">
        <v>9</v>
      </c>
    </row>
    <row r="1269" spans="1:2" x14ac:dyDescent="0.25">
      <c r="A1269" t="s">
        <v>20</v>
      </c>
      <c r="B1269" t="s">
        <v>14</v>
      </c>
    </row>
    <row r="1271" spans="1:2" x14ac:dyDescent="0.25">
      <c r="A1271" t="s">
        <v>2</v>
      </c>
      <c r="B1271" t="s">
        <v>11</v>
      </c>
    </row>
    <row r="1273" spans="1:2" x14ac:dyDescent="0.25">
      <c r="A1273" t="s">
        <v>7</v>
      </c>
      <c r="B1273" t="s">
        <v>18</v>
      </c>
    </row>
    <row r="1275" spans="1:2" x14ac:dyDescent="0.25">
      <c r="A1275" t="s">
        <v>2</v>
      </c>
      <c r="B1275" t="s">
        <v>6</v>
      </c>
    </row>
    <row r="1277" spans="1:2" x14ac:dyDescent="0.25">
      <c r="A1277" t="s">
        <v>4</v>
      </c>
      <c r="B1277" t="s">
        <v>5</v>
      </c>
    </row>
    <row r="1279" spans="1:2" x14ac:dyDescent="0.25">
      <c r="A1279" t="s">
        <v>17</v>
      </c>
      <c r="B1279" t="s">
        <v>22</v>
      </c>
    </row>
    <row r="1281" spans="1:3" x14ac:dyDescent="0.25">
      <c r="A1281" t="s">
        <v>4</v>
      </c>
      <c r="B1281" t="s">
        <v>13</v>
      </c>
    </row>
    <row r="1283" spans="1:3" x14ac:dyDescent="0.25">
      <c r="A1283" t="s">
        <v>4</v>
      </c>
      <c r="B1283" t="s">
        <v>15</v>
      </c>
    </row>
    <row r="1285" spans="1:3" x14ac:dyDescent="0.25">
      <c r="A1285" t="s">
        <v>2</v>
      </c>
      <c r="B1285" t="s">
        <v>19</v>
      </c>
    </row>
    <row r="1288" spans="1:3" x14ac:dyDescent="0.25">
      <c r="A1288" t="s">
        <v>61</v>
      </c>
      <c r="C1288" t="str">
        <f>IF(COUNTIF(A1288:A1320,"LAUNCH1.vbs"),"launch1","-")&amp;IF(COUNTIF(A1288:A1320,"LAUNCH2.vbs"),"launch2","-")&amp;IF(COUNTIF(A1288:A1320,"LAUNCH3.vbs"),"launch3","-")&amp;IF(COUNTIF(A1288:A1320,"LAUNCH4.vbs"),"launch4","-")&amp;IF(COUNTIF(A1288:A1320,"LAUNCH5.vbs"),"launch5","-")</f>
        <v>launch1launch2launch3launch4launch5</v>
      </c>
    </row>
    <row r="1290" spans="1:3" x14ac:dyDescent="0.25">
      <c r="A1290" t="s">
        <v>20</v>
      </c>
      <c r="B1290" t="s">
        <v>3</v>
      </c>
    </row>
    <row r="1292" spans="1:3" x14ac:dyDescent="0.25">
      <c r="A1292" t="s">
        <v>4</v>
      </c>
      <c r="B1292" t="s">
        <v>9</v>
      </c>
    </row>
    <row r="1294" spans="1:3" x14ac:dyDescent="0.25">
      <c r="A1294" t="s">
        <v>4</v>
      </c>
      <c r="B1294" t="s">
        <v>6</v>
      </c>
    </row>
    <row r="1296" spans="1:3" x14ac:dyDescent="0.25">
      <c r="A1296" t="s">
        <v>2</v>
      </c>
      <c r="B1296" t="s">
        <v>21</v>
      </c>
    </row>
    <row r="1298" spans="1:2" x14ac:dyDescent="0.25">
      <c r="A1298" t="s">
        <v>2</v>
      </c>
      <c r="B1298" t="s">
        <v>18</v>
      </c>
    </row>
    <row r="1300" spans="1:2" x14ac:dyDescent="0.25">
      <c r="A1300" t="s">
        <v>17</v>
      </c>
      <c r="B1300" t="s">
        <v>13</v>
      </c>
    </row>
    <row r="1302" spans="1:2" x14ac:dyDescent="0.25">
      <c r="A1302" t="s">
        <v>4</v>
      </c>
      <c r="B1302" t="s">
        <v>16</v>
      </c>
    </row>
    <row r="1304" spans="1:2" x14ac:dyDescent="0.25">
      <c r="A1304" t="s">
        <v>2</v>
      </c>
      <c r="B1304" t="s">
        <v>22</v>
      </c>
    </row>
    <row r="1306" spans="1:2" x14ac:dyDescent="0.25">
      <c r="A1306" t="s">
        <v>10</v>
      </c>
      <c r="B1306" t="s">
        <v>8</v>
      </c>
    </row>
    <row r="1308" spans="1:2" x14ac:dyDescent="0.25">
      <c r="A1308" t="s">
        <v>12</v>
      </c>
      <c r="B1308" t="s">
        <v>5</v>
      </c>
    </row>
    <row r="1310" spans="1:2" x14ac:dyDescent="0.25">
      <c r="A1310" t="s">
        <v>2</v>
      </c>
      <c r="B1310" t="s">
        <v>14</v>
      </c>
    </row>
    <row r="1312" spans="1:2" x14ac:dyDescent="0.25">
      <c r="A1312" t="s">
        <v>7</v>
      </c>
      <c r="B1312" t="s">
        <v>15</v>
      </c>
    </row>
    <row r="1314" spans="1:3" x14ac:dyDescent="0.25">
      <c r="A1314" t="s">
        <v>4</v>
      </c>
      <c r="B1314" t="s">
        <v>11</v>
      </c>
    </row>
    <row r="1316" spans="1:3" x14ac:dyDescent="0.25">
      <c r="A1316" t="s">
        <v>2</v>
      </c>
      <c r="B1316" t="s">
        <v>1</v>
      </c>
    </row>
    <row r="1318" spans="1:3" x14ac:dyDescent="0.25">
      <c r="A1318" t="s">
        <v>4</v>
      </c>
      <c r="B1318" t="s">
        <v>19</v>
      </c>
    </row>
    <row r="1321" spans="1:3" x14ac:dyDescent="0.25">
      <c r="A1321" t="s">
        <v>62</v>
      </c>
      <c r="C1321" t="str">
        <f>IF(COUNTIF(A1321:A1353,"LAUNCH1.vbs"),"launch1","-")&amp;IF(COUNTIF(A1321:A1353,"LAUNCH2.vbs"),"launch2","-")&amp;IF(COUNTIF(A1321:A1353,"LAUNCH3.vbs"),"launch3","-")&amp;IF(COUNTIF(A1321:A1353,"LAUNCH4.vbs"),"launch4","-")&amp;IF(COUNTIF(A1321:A1353,"LAUNCH5.vbs"),"launch5","-")</f>
        <v>launch1launch2launch3launch4launch5</v>
      </c>
    </row>
    <row r="1323" spans="1:3" x14ac:dyDescent="0.25">
      <c r="A1323" t="s">
        <v>4</v>
      </c>
      <c r="B1323" t="s">
        <v>1</v>
      </c>
    </row>
    <row r="1325" spans="1:3" x14ac:dyDescent="0.25">
      <c r="A1325" t="s">
        <v>20</v>
      </c>
      <c r="B1325" t="s">
        <v>3</v>
      </c>
    </row>
    <row r="1327" spans="1:3" x14ac:dyDescent="0.25">
      <c r="A1327" t="s">
        <v>4</v>
      </c>
      <c r="B1327" t="s">
        <v>14</v>
      </c>
    </row>
    <row r="1329" spans="1:2" x14ac:dyDescent="0.25">
      <c r="A1329" t="s">
        <v>2</v>
      </c>
      <c r="B1329" t="s">
        <v>9</v>
      </c>
    </row>
    <row r="1331" spans="1:2" x14ac:dyDescent="0.25">
      <c r="A1331" t="s">
        <v>2</v>
      </c>
      <c r="B1331" t="s">
        <v>6</v>
      </c>
    </row>
    <row r="1333" spans="1:2" x14ac:dyDescent="0.25">
      <c r="A1333" t="s">
        <v>2</v>
      </c>
      <c r="B1333" t="s">
        <v>11</v>
      </c>
    </row>
    <row r="1335" spans="1:2" x14ac:dyDescent="0.25">
      <c r="A1335" t="s">
        <v>2</v>
      </c>
      <c r="B1335" t="s">
        <v>19</v>
      </c>
    </row>
    <row r="1337" spans="1:2" x14ac:dyDescent="0.25">
      <c r="A1337" t="s">
        <v>4</v>
      </c>
      <c r="B1337" t="s">
        <v>18</v>
      </c>
    </row>
    <row r="1339" spans="1:2" x14ac:dyDescent="0.25">
      <c r="A1339" t="s">
        <v>2</v>
      </c>
      <c r="B1339" t="s">
        <v>16</v>
      </c>
    </row>
    <row r="1341" spans="1:2" x14ac:dyDescent="0.25">
      <c r="A1341" t="s">
        <v>17</v>
      </c>
      <c r="B1341" t="s">
        <v>8</v>
      </c>
    </row>
    <row r="1343" spans="1:2" x14ac:dyDescent="0.25">
      <c r="A1343" t="s">
        <v>12</v>
      </c>
      <c r="B1343" t="s">
        <v>15</v>
      </c>
    </row>
    <row r="1345" spans="1:3" x14ac:dyDescent="0.25">
      <c r="A1345" t="s">
        <v>4</v>
      </c>
      <c r="B1345" t="s">
        <v>22</v>
      </c>
    </row>
    <row r="1347" spans="1:3" x14ac:dyDescent="0.25">
      <c r="A1347" t="s">
        <v>10</v>
      </c>
      <c r="B1347" t="s">
        <v>5</v>
      </c>
    </row>
    <row r="1349" spans="1:3" x14ac:dyDescent="0.25">
      <c r="A1349" t="s">
        <v>7</v>
      </c>
      <c r="B1349" t="s">
        <v>13</v>
      </c>
    </row>
    <row r="1351" spans="1:3" x14ac:dyDescent="0.25">
      <c r="A1351" t="s">
        <v>4</v>
      </c>
      <c r="B1351" t="s">
        <v>21</v>
      </c>
    </row>
    <row r="1354" spans="1:3" x14ac:dyDescent="0.25">
      <c r="A1354" t="s">
        <v>63</v>
      </c>
      <c r="C1354" t="str">
        <f>IF(COUNTIF(A1354:A1386,"LAUNCH1.vbs"),"launch1","-")&amp;IF(COUNTIF(A1354:A1386,"LAUNCH2.vbs"),"launch2","-")&amp;IF(COUNTIF(A1354:A1386,"LAUNCH3.vbs"),"launch3","-")&amp;IF(COUNTIF(A1354:A1386,"LAUNCH4.vbs"),"launch4","-")&amp;IF(COUNTIF(A1354:A1386,"LAUNCH5.vbs"),"launch5","-")</f>
        <v>launch1launch2launch3launch4launch5</v>
      </c>
    </row>
    <row r="1356" spans="1:3" x14ac:dyDescent="0.25">
      <c r="A1356" t="s">
        <v>2</v>
      </c>
      <c r="B1356" t="s">
        <v>13</v>
      </c>
    </row>
    <row r="1358" spans="1:3" x14ac:dyDescent="0.25">
      <c r="A1358" t="s">
        <v>4</v>
      </c>
      <c r="B1358" t="s">
        <v>9</v>
      </c>
    </row>
    <row r="1360" spans="1:3" x14ac:dyDescent="0.25">
      <c r="A1360" t="s">
        <v>7</v>
      </c>
      <c r="B1360" t="s">
        <v>22</v>
      </c>
    </row>
    <row r="1362" spans="1:2" x14ac:dyDescent="0.25">
      <c r="A1362" t="s">
        <v>12</v>
      </c>
      <c r="B1362" t="s">
        <v>1</v>
      </c>
    </row>
    <row r="1364" spans="1:2" x14ac:dyDescent="0.25">
      <c r="A1364" t="s">
        <v>2</v>
      </c>
      <c r="B1364" t="s">
        <v>8</v>
      </c>
    </row>
    <row r="1366" spans="1:2" x14ac:dyDescent="0.25">
      <c r="A1366" t="s">
        <v>2</v>
      </c>
      <c r="B1366" t="s">
        <v>5</v>
      </c>
    </row>
    <row r="1368" spans="1:2" x14ac:dyDescent="0.25">
      <c r="A1368" t="s">
        <v>4</v>
      </c>
      <c r="B1368" t="s">
        <v>16</v>
      </c>
    </row>
    <row r="1370" spans="1:2" x14ac:dyDescent="0.25">
      <c r="A1370" t="s">
        <v>4</v>
      </c>
      <c r="B1370" t="s">
        <v>6</v>
      </c>
    </row>
    <row r="1372" spans="1:2" x14ac:dyDescent="0.25">
      <c r="A1372" t="s">
        <v>4</v>
      </c>
      <c r="B1372" t="s">
        <v>19</v>
      </c>
    </row>
    <row r="1374" spans="1:2" x14ac:dyDescent="0.25">
      <c r="A1374" t="s">
        <v>2</v>
      </c>
      <c r="B1374" t="s">
        <v>3</v>
      </c>
    </row>
    <row r="1376" spans="1:2" x14ac:dyDescent="0.25">
      <c r="A1376" t="s">
        <v>10</v>
      </c>
      <c r="B1376" t="s">
        <v>14</v>
      </c>
    </row>
    <row r="1378" spans="1:3" x14ac:dyDescent="0.25">
      <c r="A1378" t="s">
        <v>17</v>
      </c>
      <c r="B1378" t="s">
        <v>21</v>
      </c>
    </row>
    <row r="1380" spans="1:3" x14ac:dyDescent="0.25">
      <c r="A1380" t="s">
        <v>20</v>
      </c>
      <c r="B1380" t="s">
        <v>18</v>
      </c>
    </row>
    <row r="1382" spans="1:3" x14ac:dyDescent="0.25">
      <c r="A1382" t="s">
        <v>2</v>
      </c>
      <c r="B1382" t="s">
        <v>15</v>
      </c>
    </row>
    <row r="1384" spans="1:3" x14ac:dyDescent="0.25">
      <c r="A1384" t="s">
        <v>4</v>
      </c>
      <c r="B1384" t="s">
        <v>11</v>
      </c>
    </row>
    <row r="1387" spans="1:3" x14ac:dyDescent="0.25">
      <c r="A1387" t="s">
        <v>64</v>
      </c>
      <c r="C1387" t="str">
        <f>IF(COUNTIF(A1387:A1419,"LAUNCH1.vbs"),"launch1","-")&amp;IF(COUNTIF(A1387:A1419,"LAUNCH2.vbs"),"launch2","-")&amp;IF(COUNTIF(A1387:A1419,"LAUNCH3.vbs"),"launch3","-")&amp;IF(COUNTIF(A1387:A1419,"LAUNCH4.vbs"),"launch4","-")&amp;IF(COUNTIF(A1387:A1419,"LAUNCH5.vbs"),"launch5","-")</f>
        <v>launch1launch2launch3launch4launch5</v>
      </c>
    </row>
    <row r="1389" spans="1:3" x14ac:dyDescent="0.25">
      <c r="A1389" t="s">
        <v>20</v>
      </c>
      <c r="B1389" t="s">
        <v>9</v>
      </c>
    </row>
    <row r="1391" spans="1:3" x14ac:dyDescent="0.25">
      <c r="A1391" t="s">
        <v>4</v>
      </c>
      <c r="B1391" t="s">
        <v>14</v>
      </c>
    </row>
    <row r="1393" spans="1:2" x14ac:dyDescent="0.25">
      <c r="A1393" t="s">
        <v>7</v>
      </c>
      <c r="B1393" t="s">
        <v>11</v>
      </c>
    </row>
    <row r="1395" spans="1:2" x14ac:dyDescent="0.25">
      <c r="A1395" t="s">
        <v>17</v>
      </c>
      <c r="B1395" t="s">
        <v>6</v>
      </c>
    </row>
    <row r="1397" spans="1:2" x14ac:dyDescent="0.25">
      <c r="A1397" t="s">
        <v>2</v>
      </c>
      <c r="B1397" t="s">
        <v>8</v>
      </c>
    </row>
    <row r="1399" spans="1:2" x14ac:dyDescent="0.25">
      <c r="A1399" t="s">
        <v>2</v>
      </c>
      <c r="B1399" t="s">
        <v>3</v>
      </c>
    </row>
    <row r="1401" spans="1:2" x14ac:dyDescent="0.25">
      <c r="A1401" t="s">
        <v>4</v>
      </c>
      <c r="B1401" t="s">
        <v>1</v>
      </c>
    </row>
    <row r="1403" spans="1:2" x14ac:dyDescent="0.25">
      <c r="A1403" t="s">
        <v>2</v>
      </c>
      <c r="B1403" t="s">
        <v>15</v>
      </c>
    </row>
    <row r="1405" spans="1:2" x14ac:dyDescent="0.25">
      <c r="A1405" t="s">
        <v>12</v>
      </c>
      <c r="B1405" t="s">
        <v>16</v>
      </c>
    </row>
    <row r="1407" spans="1:2" x14ac:dyDescent="0.25">
      <c r="A1407" t="s">
        <v>4</v>
      </c>
      <c r="B1407" t="s">
        <v>22</v>
      </c>
    </row>
    <row r="1409" spans="1:3" x14ac:dyDescent="0.25">
      <c r="A1409" t="s">
        <v>10</v>
      </c>
      <c r="B1409" t="s">
        <v>19</v>
      </c>
    </row>
    <row r="1411" spans="1:3" x14ac:dyDescent="0.25">
      <c r="A1411" t="s">
        <v>4</v>
      </c>
      <c r="B1411" t="s">
        <v>21</v>
      </c>
    </row>
    <row r="1413" spans="1:3" x14ac:dyDescent="0.25">
      <c r="A1413" t="s">
        <v>2</v>
      </c>
      <c r="B1413" t="s">
        <v>13</v>
      </c>
    </row>
    <row r="1415" spans="1:3" x14ac:dyDescent="0.25">
      <c r="A1415" t="s">
        <v>2</v>
      </c>
      <c r="B1415" t="s">
        <v>5</v>
      </c>
    </row>
    <row r="1417" spans="1:3" x14ac:dyDescent="0.25">
      <c r="A1417" t="s">
        <v>4</v>
      </c>
      <c r="B1417" t="s">
        <v>18</v>
      </c>
    </row>
    <row r="1420" spans="1:3" x14ac:dyDescent="0.25">
      <c r="A1420" t="s">
        <v>65</v>
      </c>
      <c r="C1420" t="str">
        <f>IF(COUNTIF(A1420:A1452,"LAUNCH1.vbs"),"launch1","-")&amp;IF(COUNTIF(A1420:A1452,"LAUNCH2.vbs"),"launch2","-")&amp;IF(COUNTIF(A1420:A1452,"LAUNCH3.vbs"),"launch3","-")&amp;IF(COUNTIF(A1420:A1452,"LAUNCH4.vbs"),"launch4","-")&amp;IF(COUNTIF(A1420:A1452,"LAUNCH5.vbs"),"launch5","-")</f>
        <v>launch1launch2launch3launch4launch5</v>
      </c>
    </row>
    <row r="1422" spans="1:3" x14ac:dyDescent="0.25">
      <c r="A1422" t="s">
        <v>10</v>
      </c>
      <c r="B1422" t="s">
        <v>11</v>
      </c>
    </row>
    <row r="1424" spans="1:3" x14ac:dyDescent="0.25">
      <c r="A1424" t="s">
        <v>4</v>
      </c>
      <c r="B1424" t="s">
        <v>15</v>
      </c>
    </row>
    <row r="1426" spans="1:2" x14ac:dyDescent="0.25">
      <c r="A1426" t="s">
        <v>2</v>
      </c>
      <c r="B1426" t="s">
        <v>22</v>
      </c>
    </row>
    <row r="1428" spans="1:2" x14ac:dyDescent="0.25">
      <c r="A1428" t="s">
        <v>20</v>
      </c>
      <c r="B1428" t="s">
        <v>6</v>
      </c>
    </row>
    <row r="1430" spans="1:2" x14ac:dyDescent="0.25">
      <c r="A1430" t="s">
        <v>4</v>
      </c>
      <c r="B1430" t="s">
        <v>3</v>
      </c>
    </row>
    <row r="1432" spans="1:2" x14ac:dyDescent="0.25">
      <c r="A1432" t="s">
        <v>7</v>
      </c>
      <c r="B1432" t="s">
        <v>9</v>
      </c>
    </row>
    <row r="1434" spans="1:2" x14ac:dyDescent="0.25">
      <c r="A1434" t="s">
        <v>4</v>
      </c>
      <c r="B1434" t="s">
        <v>5</v>
      </c>
    </row>
    <row r="1436" spans="1:2" x14ac:dyDescent="0.25">
      <c r="A1436" t="s">
        <v>17</v>
      </c>
      <c r="B1436" t="s">
        <v>19</v>
      </c>
    </row>
    <row r="1438" spans="1:2" x14ac:dyDescent="0.25">
      <c r="A1438" t="s">
        <v>2</v>
      </c>
      <c r="B1438" t="s">
        <v>1</v>
      </c>
    </row>
    <row r="1440" spans="1:2" x14ac:dyDescent="0.25">
      <c r="A1440" t="s">
        <v>4</v>
      </c>
      <c r="B1440" t="s">
        <v>13</v>
      </c>
    </row>
    <row r="1442" spans="1:3" x14ac:dyDescent="0.25">
      <c r="A1442" t="s">
        <v>2</v>
      </c>
      <c r="B1442" t="s">
        <v>14</v>
      </c>
    </row>
    <row r="1444" spans="1:3" x14ac:dyDescent="0.25">
      <c r="A1444" t="s">
        <v>4</v>
      </c>
      <c r="B1444" t="s">
        <v>8</v>
      </c>
    </row>
    <row r="1446" spans="1:3" x14ac:dyDescent="0.25">
      <c r="A1446" t="s">
        <v>2</v>
      </c>
      <c r="B1446" t="s">
        <v>18</v>
      </c>
    </row>
    <row r="1448" spans="1:3" x14ac:dyDescent="0.25">
      <c r="A1448" t="s">
        <v>2</v>
      </c>
      <c r="B1448" t="s">
        <v>21</v>
      </c>
    </row>
    <row r="1450" spans="1:3" x14ac:dyDescent="0.25">
      <c r="A1450" t="s">
        <v>12</v>
      </c>
      <c r="B1450" t="s">
        <v>16</v>
      </c>
    </row>
    <row r="1453" spans="1:3" x14ac:dyDescent="0.25">
      <c r="A1453" t="s">
        <v>66</v>
      </c>
      <c r="C1453" t="str">
        <f>IF(COUNTIF(A1453:A1485,"LAUNCH1.vbs"),"launch1","-")&amp;IF(COUNTIF(A1453:A1485,"LAUNCH2.vbs"),"launch2","-")&amp;IF(COUNTIF(A1453:A1485,"LAUNCH3.vbs"),"launch3","-")&amp;IF(COUNTIF(A1453:A1485,"LAUNCH4.vbs"),"launch4","-")&amp;IF(COUNTIF(A1453:A1485,"LAUNCH5.vbs"),"launch5","-")</f>
        <v>launch1launch2launch3launch4launch5</v>
      </c>
    </row>
    <row r="1455" spans="1:3" x14ac:dyDescent="0.25">
      <c r="A1455" t="s">
        <v>10</v>
      </c>
      <c r="B1455" t="s">
        <v>1</v>
      </c>
    </row>
    <row r="1457" spans="1:2" x14ac:dyDescent="0.25">
      <c r="A1457" t="s">
        <v>7</v>
      </c>
      <c r="B1457" t="s">
        <v>21</v>
      </c>
    </row>
    <row r="1459" spans="1:2" x14ac:dyDescent="0.25">
      <c r="A1459" t="s">
        <v>4</v>
      </c>
      <c r="B1459" t="s">
        <v>6</v>
      </c>
    </row>
    <row r="1461" spans="1:2" x14ac:dyDescent="0.25">
      <c r="A1461" t="s">
        <v>2</v>
      </c>
      <c r="B1461" t="s">
        <v>8</v>
      </c>
    </row>
    <row r="1463" spans="1:2" x14ac:dyDescent="0.25">
      <c r="A1463" t="s">
        <v>12</v>
      </c>
      <c r="B1463" t="s">
        <v>18</v>
      </c>
    </row>
    <row r="1465" spans="1:2" x14ac:dyDescent="0.25">
      <c r="A1465" t="s">
        <v>2</v>
      </c>
      <c r="B1465" t="s">
        <v>5</v>
      </c>
    </row>
    <row r="1467" spans="1:2" x14ac:dyDescent="0.25">
      <c r="A1467" t="s">
        <v>20</v>
      </c>
      <c r="B1467" t="s">
        <v>22</v>
      </c>
    </row>
    <row r="1469" spans="1:2" x14ac:dyDescent="0.25">
      <c r="A1469" t="s">
        <v>4</v>
      </c>
      <c r="B1469" t="s">
        <v>9</v>
      </c>
    </row>
    <row r="1471" spans="1:2" x14ac:dyDescent="0.25">
      <c r="A1471" t="s">
        <v>17</v>
      </c>
      <c r="B1471" t="s">
        <v>14</v>
      </c>
    </row>
    <row r="1473" spans="1:3" x14ac:dyDescent="0.25">
      <c r="A1473" t="s">
        <v>2</v>
      </c>
      <c r="B1473" t="s">
        <v>15</v>
      </c>
    </row>
    <row r="1475" spans="1:3" x14ac:dyDescent="0.25">
      <c r="A1475" t="s">
        <v>4</v>
      </c>
      <c r="B1475" t="s">
        <v>11</v>
      </c>
    </row>
    <row r="1477" spans="1:3" x14ac:dyDescent="0.25">
      <c r="A1477" t="s">
        <v>4</v>
      </c>
      <c r="B1477" t="s">
        <v>16</v>
      </c>
    </row>
    <row r="1479" spans="1:3" x14ac:dyDescent="0.25">
      <c r="A1479" t="s">
        <v>4</v>
      </c>
      <c r="B1479" t="s">
        <v>19</v>
      </c>
    </row>
    <row r="1481" spans="1:3" x14ac:dyDescent="0.25">
      <c r="A1481" t="s">
        <v>2</v>
      </c>
      <c r="B1481" t="s">
        <v>3</v>
      </c>
    </row>
    <row r="1483" spans="1:3" x14ac:dyDescent="0.25">
      <c r="A1483" t="s">
        <v>2</v>
      </c>
      <c r="B1483" t="s">
        <v>13</v>
      </c>
    </row>
    <row r="1486" spans="1:3" x14ac:dyDescent="0.25">
      <c r="A1486" t="s">
        <v>67</v>
      </c>
      <c r="C1486" t="str">
        <f>IF(COUNTIF(A1486:A1518,"LAUNCH1.vbs"),"launch1","-")&amp;IF(COUNTIF(A1486:A1518,"LAUNCH2.vbs"),"launch2","-")&amp;IF(COUNTIF(A1486:A1518,"LAUNCH3.vbs"),"launch3","-")&amp;IF(COUNTIF(A1486:A1518,"LAUNCH4.vbs"),"launch4","-")&amp;IF(COUNTIF(A1486:A1518,"LAUNCH5.vbs"),"launch5","-")</f>
        <v>launch1launch2launch3launch4launch5</v>
      </c>
    </row>
    <row r="1488" spans="1:3" x14ac:dyDescent="0.25">
      <c r="A1488" t="s">
        <v>2</v>
      </c>
      <c r="B1488" t="s">
        <v>11</v>
      </c>
    </row>
    <row r="1490" spans="1:2" x14ac:dyDescent="0.25">
      <c r="A1490" t="s">
        <v>4</v>
      </c>
      <c r="B1490" t="s">
        <v>15</v>
      </c>
    </row>
    <row r="1492" spans="1:2" x14ac:dyDescent="0.25">
      <c r="A1492" t="s">
        <v>7</v>
      </c>
      <c r="B1492" t="s">
        <v>18</v>
      </c>
    </row>
    <row r="1494" spans="1:2" x14ac:dyDescent="0.25">
      <c r="A1494" t="s">
        <v>4</v>
      </c>
      <c r="B1494" t="s">
        <v>13</v>
      </c>
    </row>
    <row r="1496" spans="1:2" x14ac:dyDescent="0.25">
      <c r="A1496" t="s">
        <v>10</v>
      </c>
      <c r="B1496" t="s">
        <v>14</v>
      </c>
    </row>
    <row r="1498" spans="1:2" x14ac:dyDescent="0.25">
      <c r="A1498" t="s">
        <v>4</v>
      </c>
      <c r="B1498" t="s">
        <v>3</v>
      </c>
    </row>
    <row r="1500" spans="1:2" x14ac:dyDescent="0.25">
      <c r="A1500" t="s">
        <v>2</v>
      </c>
      <c r="B1500" t="s">
        <v>6</v>
      </c>
    </row>
    <row r="1502" spans="1:2" x14ac:dyDescent="0.25">
      <c r="A1502" t="s">
        <v>2</v>
      </c>
      <c r="B1502" t="s">
        <v>9</v>
      </c>
    </row>
    <row r="1504" spans="1:2" x14ac:dyDescent="0.25">
      <c r="A1504" t="s">
        <v>2</v>
      </c>
      <c r="B1504" t="s">
        <v>19</v>
      </c>
    </row>
    <row r="1506" spans="1:3" x14ac:dyDescent="0.25">
      <c r="A1506" t="s">
        <v>20</v>
      </c>
      <c r="B1506" t="s">
        <v>1</v>
      </c>
    </row>
    <row r="1508" spans="1:3" x14ac:dyDescent="0.25">
      <c r="A1508" t="s">
        <v>2</v>
      </c>
      <c r="B1508" t="s">
        <v>16</v>
      </c>
    </row>
    <row r="1510" spans="1:3" x14ac:dyDescent="0.25">
      <c r="A1510" t="s">
        <v>4</v>
      </c>
      <c r="B1510" t="s">
        <v>8</v>
      </c>
    </row>
    <row r="1512" spans="1:3" x14ac:dyDescent="0.25">
      <c r="A1512" t="s">
        <v>4</v>
      </c>
      <c r="B1512" t="s">
        <v>5</v>
      </c>
    </row>
    <row r="1514" spans="1:3" x14ac:dyDescent="0.25">
      <c r="A1514" t="s">
        <v>12</v>
      </c>
      <c r="B1514" t="s">
        <v>22</v>
      </c>
    </row>
    <row r="1516" spans="1:3" x14ac:dyDescent="0.25">
      <c r="A1516" t="s">
        <v>17</v>
      </c>
      <c r="B1516" t="s">
        <v>21</v>
      </c>
    </row>
    <row r="1519" spans="1:3" x14ac:dyDescent="0.25">
      <c r="A1519" t="s">
        <v>68</v>
      </c>
      <c r="C1519" t="str">
        <f>IF(COUNTIF(A1519:A1551,"LAUNCH1.vbs"),"launch1","-")&amp;IF(COUNTIF(A1519:A1551,"LAUNCH2.vbs"),"launch2","-")&amp;IF(COUNTIF(A1519:A1551,"LAUNCH3.vbs"),"launch3","-")&amp;IF(COUNTIF(A1519:A1551,"LAUNCH4.vbs"),"launch4","-")&amp;IF(COUNTIF(A1519:A1551,"LAUNCH5.vbs"),"launch5","-")</f>
        <v>launch1launch2launch3launch4launch5</v>
      </c>
    </row>
    <row r="1521" spans="1:2" x14ac:dyDescent="0.25">
      <c r="A1521" t="s">
        <v>2</v>
      </c>
      <c r="B1521" t="s">
        <v>18</v>
      </c>
    </row>
    <row r="1523" spans="1:2" x14ac:dyDescent="0.25">
      <c r="A1523" t="s">
        <v>2</v>
      </c>
      <c r="B1523" t="s">
        <v>1</v>
      </c>
    </row>
    <row r="1525" spans="1:2" x14ac:dyDescent="0.25">
      <c r="A1525" t="s">
        <v>4</v>
      </c>
      <c r="B1525" t="s">
        <v>9</v>
      </c>
    </row>
    <row r="1527" spans="1:2" x14ac:dyDescent="0.25">
      <c r="A1527" t="s">
        <v>4</v>
      </c>
      <c r="B1527" t="s">
        <v>6</v>
      </c>
    </row>
    <row r="1529" spans="1:2" x14ac:dyDescent="0.25">
      <c r="A1529" t="s">
        <v>20</v>
      </c>
      <c r="B1529" t="s">
        <v>8</v>
      </c>
    </row>
    <row r="1531" spans="1:2" x14ac:dyDescent="0.25">
      <c r="A1531" t="s">
        <v>2</v>
      </c>
      <c r="B1531" t="s">
        <v>21</v>
      </c>
    </row>
    <row r="1533" spans="1:2" x14ac:dyDescent="0.25">
      <c r="A1533" t="s">
        <v>17</v>
      </c>
      <c r="B1533" t="s">
        <v>13</v>
      </c>
    </row>
    <row r="1535" spans="1:2" x14ac:dyDescent="0.25">
      <c r="A1535" t="s">
        <v>4</v>
      </c>
      <c r="B1535" t="s">
        <v>16</v>
      </c>
    </row>
    <row r="1537" spans="1:3" x14ac:dyDescent="0.25">
      <c r="A1537" t="s">
        <v>7</v>
      </c>
      <c r="B1537" t="s">
        <v>3</v>
      </c>
    </row>
    <row r="1539" spans="1:3" x14ac:dyDescent="0.25">
      <c r="A1539" t="s">
        <v>2</v>
      </c>
      <c r="B1539" t="s">
        <v>14</v>
      </c>
    </row>
    <row r="1541" spans="1:3" x14ac:dyDescent="0.25">
      <c r="A1541" t="s">
        <v>4</v>
      </c>
      <c r="B1541" t="s">
        <v>19</v>
      </c>
    </row>
    <row r="1543" spans="1:3" x14ac:dyDescent="0.25">
      <c r="A1543" t="s">
        <v>12</v>
      </c>
      <c r="B1543" t="s">
        <v>5</v>
      </c>
    </row>
    <row r="1545" spans="1:3" x14ac:dyDescent="0.25">
      <c r="A1545" t="s">
        <v>4</v>
      </c>
      <c r="B1545" t="s">
        <v>11</v>
      </c>
    </row>
    <row r="1547" spans="1:3" x14ac:dyDescent="0.25">
      <c r="A1547" t="s">
        <v>2</v>
      </c>
      <c r="B1547" t="s">
        <v>22</v>
      </c>
    </row>
    <row r="1549" spans="1:3" x14ac:dyDescent="0.25">
      <c r="A1549" t="s">
        <v>10</v>
      </c>
      <c r="B1549" t="s">
        <v>15</v>
      </c>
    </row>
    <row r="1552" spans="1:3" x14ac:dyDescent="0.25">
      <c r="A1552" t="s">
        <v>69</v>
      </c>
      <c r="C1552" t="str">
        <f>IF(COUNTIF(A1552:A1584,"LAUNCH1.vbs"),"launch1","-")&amp;IF(COUNTIF(A1552:A1584,"LAUNCH2.vbs"),"launch2","-")&amp;IF(COUNTIF(A1552:A1584,"LAUNCH3.vbs"),"launch3","-")&amp;IF(COUNTIF(A1552:A1584,"LAUNCH4.vbs"),"launch4","-")&amp;IF(COUNTIF(A1552:A1584,"LAUNCH5.vbs"),"launch5","-")</f>
        <v>launch1launch2launch3launch4launch5</v>
      </c>
    </row>
    <row r="1554" spans="1:2" x14ac:dyDescent="0.25">
      <c r="A1554" t="s">
        <v>4</v>
      </c>
      <c r="B1554" t="s">
        <v>1</v>
      </c>
    </row>
    <row r="1556" spans="1:2" x14ac:dyDescent="0.25">
      <c r="A1556" t="s">
        <v>7</v>
      </c>
      <c r="B1556" t="s">
        <v>15</v>
      </c>
    </row>
    <row r="1558" spans="1:2" x14ac:dyDescent="0.25">
      <c r="A1558" t="s">
        <v>20</v>
      </c>
      <c r="B1558" t="s">
        <v>3</v>
      </c>
    </row>
    <row r="1560" spans="1:2" x14ac:dyDescent="0.25">
      <c r="A1560" t="s">
        <v>2</v>
      </c>
      <c r="B1560" t="s">
        <v>19</v>
      </c>
    </row>
    <row r="1562" spans="1:2" x14ac:dyDescent="0.25">
      <c r="A1562" t="s">
        <v>12</v>
      </c>
      <c r="B1562" t="s">
        <v>5</v>
      </c>
    </row>
    <row r="1564" spans="1:2" x14ac:dyDescent="0.25">
      <c r="A1564" t="s">
        <v>2</v>
      </c>
      <c r="B1564" t="s">
        <v>16</v>
      </c>
    </row>
    <row r="1566" spans="1:2" x14ac:dyDescent="0.25">
      <c r="A1566" t="s">
        <v>10</v>
      </c>
      <c r="B1566" t="s">
        <v>8</v>
      </c>
    </row>
    <row r="1568" spans="1:2" x14ac:dyDescent="0.25">
      <c r="A1568" t="s">
        <v>4</v>
      </c>
      <c r="B1568" t="s">
        <v>14</v>
      </c>
    </row>
    <row r="1570" spans="1:2" x14ac:dyDescent="0.25">
      <c r="A1570" t="s">
        <v>2</v>
      </c>
      <c r="B1570" t="s">
        <v>11</v>
      </c>
    </row>
    <row r="1572" spans="1:2" x14ac:dyDescent="0.25">
      <c r="A1572" t="s">
        <v>17</v>
      </c>
      <c r="B1572" t="s">
        <v>13</v>
      </c>
    </row>
    <row r="1574" spans="1:2" x14ac:dyDescent="0.25">
      <c r="A1574" t="s">
        <v>4</v>
      </c>
      <c r="B1574" t="s">
        <v>18</v>
      </c>
    </row>
    <row r="1576" spans="1:2" x14ac:dyDescent="0.25">
      <c r="A1576" t="s">
        <v>4</v>
      </c>
      <c r="B1576" t="s">
        <v>22</v>
      </c>
    </row>
    <row r="1578" spans="1:2" x14ac:dyDescent="0.25">
      <c r="A1578" t="s">
        <v>2</v>
      </c>
      <c r="B1578" t="s">
        <v>6</v>
      </c>
    </row>
    <row r="1580" spans="1:2" x14ac:dyDescent="0.25">
      <c r="A1580" t="s">
        <v>2</v>
      </c>
      <c r="B1580" t="s">
        <v>9</v>
      </c>
    </row>
    <row r="1582" spans="1:2" x14ac:dyDescent="0.25">
      <c r="A1582" t="s">
        <v>4</v>
      </c>
      <c r="B1582" t="s">
        <v>21</v>
      </c>
    </row>
    <row r="1585" spans="1:3" x14ac:dyDescent="0.25">
      <c r="A1585" t="s">
        <v>70</v>
      </c>
      <c r="C1585" t="str">
        <f>IF(COUNTIF(A1585:A1617,"LAUNCH1.vbs"),"launch1","-")&amp;IF(COUNTIF(A1585:A1617,"LAUNCH2.vbs"),"launch2","-")&amp;IF(COUNTIF(A1585:A1617,"LAUNCH3.vbs"),"launch3","-")&amp;IF(COUNTIF(A1585:A1617,"LAUNCH4.vbs"),"launch4","-")&amp;IF(COUNTIF(A1585:A1617,"LAUNCH5.vbs"),"launch5","-")</f>
        <v>launch1launch2launch3launch4launch5</v>
      </c>
    </row>
    <row r="1587" spans="1:3" x14ac:dyDescent="0.25">
      <c r="A1587" t="s">
        <v>4</v>
      </c>
      <c r="B1587" t="s">
        <v>16</v>
      </c>
    </row>
    <row r="1589" spans="1:3" x14ac:dyDescent="0.25">
      <c r="A1589" t="s">
        <v>2</v>
      </c>
      <c r="B1589" t="s">
        <v>13</v>
      </c>
    </row>
    <row r="1591" spans="1:3" x14ac:dyDescent="0.25">
      <c r="A1591" t="s">
        <v>17</v>
      </c>
      <c r="B1591" t="s">
        <v>18</v>
      </c>
    </row>
    <row r="1593" spans="1:3" x14ac:dyDescent="0.25">
      <c r="A1593" t="s">
        <v>2</v>
      </c>
      <c r="B1593" t="s">
        <v>8</v>
      </c>
    </row>
    <row r="1595" spans="1:3" x14ac:dyDescent="0.25">
      <c r="A1595" t="s">
        <v>7</v>
      </c>
      <c r="B1595" t="s">
        <v>1</v>
      </c>
    </row>
    <row r="1597" spans="1:3" x14ac:dyDescent="0.25">
      <c r="A1597" t="s">
        <v>4</v>
      </c>
      <c r="B1597" t="s">
        <v>19</v>
      </c>
    </row>
    <row r="1599" spans="1:3" x14ac:dyDescent="0.25">
      <c r="A1599" t="s">
        <v>20</v>
      </c>
      <c r="B1599" t="s">
        <v>14</v>
      </c>
    </row>
    <row r="1601" spans="1:2" x14ac:dyDescent="0.25">
      <c r="A1601" t="s">
        <v>4</v>
      </c>
      <c r="B1601" t="s">
        <v>9</v>
      </c>
    </row>
    <row r="1603" spans="1:2" x14ac:dyDescent="0.25">
      <c r="A1603" t="s">
        <v>2</v>
      </c>
      <c r="B1603" t="s">
        <v>3</v>
      </c>
    </row>
    <row r="1605" spans="1:2" x14ac:dyDescent="0.25">
      <c r="A1605" t="s">
        <v>4</v>
      </c>
      <c r="B1605" t="s">
        <v>6</v>
      </c>
    </row>
    <row r="1607" spans="1:2" x14ac:dyDescent="0.25">
      <c r="A1607" t="s">
        <v>2</v>
      </c>
      <c r="B1607" t="s">
        <v>5</v>
      </c>
    </row>
    <row r="1609" spans="1:2" x14ac:dyDescent="0.25">
      <c r="A1609" t="s">
        <v>10</v>
      </c>
      <c r="B1609" t="s">
        <v>21</v>
      </c>
    </row>
    <row r="1611" spans="1:2" x14ac:dyDescent="0.25">
      <c r="A1611" t="s">
        <v>12</v>
      </c>
      <c r="B1611" t="s">
        <v>22</v>
      </c>
    </row>
    <row r="1613" spans="1:2" x14ac:dyDescent="0.25">
      <c r="A1613" t="s">
        <v>4</v>
      </c>
      <c r="B1613" t="s">
        <v>11</v>
      </c>
    </row>
    <row r="1615" spans="1:2" x14ac:dyDescent="0.25">
      <c r="A1615" t="s">
        <v>2</v>
      </c>
      <c r="B1615" t="s">
        <v>15</v>
      </c>
    </row>
    <row r="1618" spans="1:3" x14ac:dyDescent="0.25">
      <c r="A1618" t="s">
        <v>71</v>
      </c>
      <c r="C1618" t="str">
        <f>IF(COUNTIF(A1618:A1650,"LAUNCH1.vbs"),"launch1","-")&amp;IF(COUNTIF(A1618:A1650,"LAUNCH2.vbs"),"launch2","-")&amp;IF(COUNTIF(A1618:A1650,"LAUNCH3.vbs"),"launch3","-")&amp;IF(COUNTIF(A1618:A1650,"LAUNCH4.vbs"),"launch4","-")&amp;IF(COUNTIF(A1618:A1650,"LAUNCH5.vbs"),"launch5","-")</f>
        <v>launch1launch2launch3launch4launch5</v>
      </c>
    </row>
    <row r="1620" spans="1:3" x14ac:dyDescent="0.25">
      <c r="A1620" t="s">
        <v>20</v>
      </c>
      <c r="B1620" t="s">
        <v>16</v>
      </c>
    </row>
    <row r="1622" spans="1:3" x14ac:dyDescent="0.25">
      <c r="A1622" t="s">
        <v>2</v>
      </c>
      <c r="B1622" t="s">
        <v>5</v>
      </c>
    </row>
    <row r="1624" spans="1:3" x14ac:dyDescent="0.25">
      <c r="A1624" t="s">
        <v>17</v>
      </c>
      <c r="B1624" t="s">
        <v>11</v>
      </c>
    </row>
    <row r="1626" spans="1:3" x14ac:dyDescent="0.25">
      <c r="A1626" t="s">
        <v>7</v>
      </c>
      <c r="B1626" t="s">
        <v>6</v>
      </c>
    </row>
    <row r="1628" spans="1:3" x14ac:dyDescent="0.25">
      <c r="A1628" t="s">
        <v>2</v>
      </c>
      <c r="B1628" t="s">
        <v>15</v>
      </c>
    </row>
    <row r="1630" spans="1:3" x14ac:dyDescent="0.25">
      <c r="A1630" t="s">
        <v>2</v>
      </c>
      <c r="B1630" t="s">
        <v>13</v>
      </c>
    </row>
    <row r="1632" spans="1:3" x14ac:dyDescent="0.25">
      <c r="A1632" t="s">
        <v>12</v>
      </c>
      <c r="B1632" t="s">
        <v>19</v>
      </c>
    </row>
    <row r="1634" spans="1:2" x14ac:dyDescent="0.25">
      <c r="A1634" t="s">
        <v>2</v>
      </c>
      <c r="B1634" t="s">
        <v>3</v>
      </c>
    </row>
    <row r="1636" spans="1:2" x14ac:dyDescent="0.25">
      <c r="A1636" t="s">
        <v>4</v>
      </c>
      <c r="B1636" t="s">
        <v>1</v>
      </c>
    </row>
    <row r="1638" spans="1:2" x14ac:dyDescent="0.25">
      <c r="A1638" t="s">
        <v>4</v>
      </c>
      <c r="B1638" t="s">
        <v>22</v>
      </c>
    </row>
    <row r="1640" spans="1:2" x14ac:dyDescent="0.25">
      <c r="A1640" t="s">
        <v>4</v>
      </c>
      <c r="B1640" t="s">
        <v>18</v>
      </c>
    </row>
    <row r="1642" spans="1:2" x14ac:dyDescent="0.25">
      <c r="A1642" t="s">
        <v>4</v>
      </c>
      <c r="B1642" t="s">
        <v>14</v>
      </c>
    </row>
    <row r="1644" spans="1:2" x14ac:dyDescent="0.25">
      <c r="A1644" t="s">
        <v>4</v>
      </c>
      <c r="B1644" t="s">
        <v>21</v>
      </c>
    </row>
    <row r="1646" spans="1:2" x14ac:dyDescent="0.25">
      <c r="A1646" t="s">
        <v>2</v>
      </c>
      <c r="B1646" t="s">
        <v>8</v>
      </c>
    </row>
    <row r="1648" spans="1:2" x14ac:dyDescent="0.25">
      <c r="A1648" t="s">
        <v>10</v>
      </c>
      <c r="B1648" t="s">
        <v>9</v>
      </c>
    </row>
    <row r="1651" spans="1:3" x14ac:dyDescent="0.25">
      <c r="A1651" t="s">
        <v>72</v>
      </c>
      <c r="C1651" t="str">
        <f>IF(COUNTIF(A1651:A1683,"LAUNCH1.vbs"),"launch1","-")&amp;IF(COUNTIF(A1651:A1683,"LAUNCH2.vbs"),"launch2","-")&amp;IF(COUNTIF(A1651:A1683,"LAUNCH3.vbs"),"launch3","-")&amp;IF(COUNTIF(A1651:A1683,"LAUNCH4.vbs"),"launch4","-")&amp;IF(COUNTIF(A1651:A1683,"LAUNCH5.vbs"),"launch5","-")</f>
        <v>launch1launch2launch3launch4launch5</v>
      </c>
    </row>
    <row r="1653" spans="1:3" x14ac:dyDescent="0.25">
      <c r="A1653" t="s">
        <v>2</v>
      </c>
      <c r="B1653" t="s">
        <v>21</v>
      </c>
    </row>
    <row r="1655" spans="1:3" x14ac:dyDescent="0.25">
      <c r="A1655" t="s">
        <v>4</v>
      </c>
      <c r="B1655" t="s">
        <v>5</v>
      </c>
    </row>
    <row r="1657" spans="1:3" x14ac:dyDescent="0.25">
      <c r="A1657" t="s">
        <v>7</v>
      </c>
      <c r="B1657" t="s">
        <v>19</v>
      </c>
    </row>
    <row r="1659" spans="1:3" x14ac:dyDescent="0.25">
      <c r="A1659" t="s">
        <v>2</v>
      </c>
      <c r="B1659" t="s">
        <v>18</v>
      </c>
    </row>
    <row r="1661" spans="1:3" x14ac:dyDescent="0.25">
      <c r="A1661" t="s">
        <v>4</v>
      </c>
      <c r="B1661" t="s">
        <v>13</v>
      </c>
    </row>
    <row r="1663" spans="1:3" x14ac:dyDescent="0.25">
      <c r="A1663" t="s">
        <v>4</v>
      </c>
      <c r="B1663" t="s">
        <v>15</v>
      </c>
    </row>
    <row r="1665" spans="1:2" x14ac:dyDescent="0.25">
      <c r="A1665" t="s">
        <v>17</v>
      </c>
      <c r="B1665" t="s">
        <v>9</v>
      </c>
    </row>
    <row r="1667" spans="1:2" x14ac:dyDescent="0.25">
      <c r="A1667" t="s">
        <v>20</v>
      </c>
      <c r="B1667" t="s">
        <v>16</v>
      </c>
    </row>
    <row r="1669" spans="1:2" x14ac:dyDescent="0.25">
      <c r="A1669" t="s">
        <v>12</v>
      </c>
      <c r="B1669" t="s">
        <v>11</v>
      </c>
    </row>
    <row r="1671" spans="1:2" x14ac:dyDescent="0.25">
      <c r="A1671" t="s">
        <v>2</v>
      </c>
      <c r="B1671" t="s">
        <v>14</v>
      </c>
    </row>
    <row r="1673" spans="1:2" x14ac:dyDescent="0.25">
      <c r="A1673" t="s">
        <v>4</v>
      </c>
      <c r="B1673" t="s">
        <v>8</v>
      </c>
    </row>
    <row r="1675" spans="1:2" x14ac:dyDescent="0.25">
      <c r="A1675" t="s">
        <v>2</v>
      </c>
      <c r="B1675" t="s">
        <v>1</v>
      </c>
    </row>
    <row r="1677" spans="1:2" x14ac:dyDescent="0.25">
      <c r="A1677" t="s">
        <v>2</v>
      </c>
      <c r="B1677" t="s">
        <v>22</v>
      </c>
    </row>
    <row r="1679" spans="1:2" x14ac:dyDescent="0.25">
      <c r="A1679" t="s">
        <v>10</v>
      </c>
      <c r="B1679" t="s">
        <v>6</v>
      </c>
    </row>
    <row r="1681" spans="1:3" x14ac:dyDescent="0.25">
      <c r="A1681" t="s">
        <v>4</v>
      </c>
      <c r="B1681" t="s">
        <v>3</v>
      </c>
    </row>
    <row r="1684" spans="1:3" x14ac:dyDescent="0.25">
      <c r="A1684" t="s">
        <v>73</v>
      </c>
      <c r="C1684" t="str">
        <f>IF(COUNTIF(A1684:A1716,"LAUNCH1.vbs"),"launch1","-")&amp;IF(COUNTIF(A1684:A1716,"LAUNCH2.vbs"),"launch2","-")&amp;IF(COUNTIF(A1684:A1716,"LAUNCH3.vbs"),"launch3","-")&amp;IF(COUNTIF(A1684:A1716,"LAUNCH4.vbs"),"launch4","-")&amp;IF(COUNTIF(A1684:A1716,"LAUNCH5.vbs"),"launch5","-")</f>
        <v>launch1launch2launch3launch4launch5</v>
      </c>
    </row>
    <row r="1686" spans="1:3" x14ac:dyDescent="0.25">
      <c r="A1686" t="s">
        <v>2</v>
      </c>
      <c r="B1686" t="s">
        <v>16</v>
      </c>
    </row>
    <row r="1688" spans="1:3" x14ac:dyDescent="0.25">
      <c r="A1688" t="s">
        <v>4</v>
      </c>
      <c r="B1688" t="s">
        <v>8</v>
      </c>
    </row>
    <row r="1690" spans="1:3" x14ac:dyDescent="0.25">
      <c r="A1690" t="s">
        <v>17</v>
      </c>
      <c r="B1690" t="s">
        <v>18</v>
      </c>
    </row>
    <row r="1692" spans="1:3" x14ac:dyDescent="0.25">
      <c r="A1692" t="s">
        <v>7</v>
      </c>
      <c r="B1692" t="s">
        <v>14</v>
      </c>
    </row>
    <row r="1694" spans="1:3" x14ac:dyDescent="0.25">
      <c r="A1694" t="s">
        <v>2</v>
      </c>
      <c r="B1694" t="s">
        <v>19</v>
      </c>
    </row>
    <row r="1696" spans="1:3" x14ac:dyDescent="0.25">
      <c r="A1696" t="s">
        <v>2</v>
      </c>
      <c r="B1696" t="s">
        <v>9</v>
      </c>
    </row>
    <row r="1698" spans="1:2" x14ac:dyDescent="0.25">
      <c r="A1698" t="s">
        <v>20</v>
      </c>
      <c r="B1698" t="s">
        <v>21</v>
      </c>
    </row>
    <row r="1700" spans="1:2" x14ac:dyDescent="0.25">
      <c r="A1700" t="s">
        <v>2</v>
      </c>
      <c r="B1700" t="s">
        <v>11</v>
      </c>
    </row>
    <row r="1702" spans="1:2" x14ac:dyDescent="0.25">
      <c r="A1702" t="s">
        <v>4</v>
      </c>
      <c r="B1702" t="s">
        <v>3</v>
      </c>
    </row>
    <row r="1704" spans="1:2" x14ac:dyDescent="0.25">
      <c r="A1704" t="s">
        <v>4</v>
      </c>
      <c r="B1704" t="s">
        <v>15</v>
      </c>
    </row>
    <row r="1706" spans="1:2" x14ac:dyDescent="0.25">
      <c r="A1706" t="s">
        <v>12</v>
      </c>
      <c r="B1706" t="s">
        <v>22</v>
      </c>
    </row>
    <row r="1708" spans="1:2" x14ac:dyDescent="0.25">
      <c r="A1708" t="s">
        <v>2</v>
      </c>
      <c r="B1708" t="s">
        <v>6</v>
      </c>
    </row>
    <row r="1710" spans="1:2" x14ac:dyDescent="0.25">
      <c r="A1710" t="s">
        <v>10</v>
      </c>
      <c r="B1710" t="s">
        <v>1</v>
      </c>
    </row>
    <row r="1712" spans="1:2" x14ac:dyDescent="0.25">
      <c r="A1712" t="s">
        <v>4</v>
      </c>
      <c r="B1712" t="s">
        <v>13</v>
      </c>
    </row>
    <row r="1714" spans="1:3" x14ac:dyDescent="0.25">
      <c r="A1714" t="s">
        <v>4</v>
      </c>
      <c r="B1714" t="s">
        <v>5</v>
      </c>
    </row>
    <row r="1717" spans="1:3" x14ac:dyDescent="0.25">
      <c r="A1717" t="s">
        <v>74</v>
      </c>
      <c r="C1717" t="str">
        <f>IF(COUNTIF(A1717:A1749,"LAUNCH1.vbs"),"launch1","-")&amp;IF(COUNTIF(A1717:A1749,"LAUNCH2.vbs"),"launch2","-")&amp;IF(COUNTIF(A1717:A1749,"LAUNCH3.vbs"),"launch3","-")&amp;IF(COUNTIF(A1717:A1749,"LAUNCH4.vbs"),"launch4","-")&amp;IF(COUNTIF(A1717:A1749,"LAUNCH5.vbs"),"launch5","-")</f>
        <v>launch1launch2launch3launch4launch5</v>
      </c>
    </row>
    <row r="1719" spans="1:3" x14ac:dyDescent="0.25">
      <c r="A1719" t="s">
        <v>4</v>
      </c>
      <c r="B1719" t="s">
        <v>11</v>
      </c>
    </row>
    <row r="1721" spans="1:3" x14ac:dyDescent="0.25">
      <c r="A1721" t="s">
        <v>2</v>
      </c>
      <c r="B1721" t="s">
        <v>21</v>
      </c>
    </row>
    <row r="1723" spans="1:3" x14ac:dyDescent="0.25">
      <c r="A1723" t="s">
        <v>4</v>
      </c>
      <c r="B1723" t="s">
        <v>9</v>
      </c>
    </row>
    <row r="1725" spans="1:3" x14ac:dyDescent="0.25">
      <c r="A1725" t="s">
        <v>20</v>
      </c>
      <c r="B1725" t="s">
        <v>13</v>
      </c>
    </row>
    <row r="1727" spans="1:3" x14ac:dyDescent="0.25">
      <c r="A1727" t="s">
        <v>4</v>
      </c>
      <c r="B1727" t="s">
        <v>16</v>
      </c>
    </row>
    <row r="1729" spans="1:2" x14ac:dyDescent="0.25">
      <c r="A1729" t="s">
        <v>2</v>
      </c>
      <c r="B1729" t="s">
        <v>14</v>
      </c>
    </row>
    <row r="1731" spans="1:2" x14ac:dyDescent="0.25">
      <c r="A1731" t="s">
        <v>7</v>
      </c>
      <c r="B1731" t="s">
        <v>8</v>
      </c>
    </row>
    <row r="1733" spans="1:2" x14ac:dyDescent="0.25">
      <c r="A1733" t="s">
        <v>4</v>
      </c>
      <c r="B1733" t="s">
        <v>19</v>
      </c>
    </row>
    <row r="1735" spans="1:2" x14ac:dyDescent="0.25">
      <c r="A1735" t="s">
        <v>12</v>
      </c>
      <c r="B1735" t="s">
        <v>3</v>
      </c>
    </row>
    <row r="1737" spans="1:2" x14ac:dyDescent="0.25">
      <c r="A1737" t="s">
        <v>10</v>
      </c>
      <c r="B1737" t="s">
        <v>15</v>
      </c>
    </row>
    <row r="1739" spans="1:2" x14ac:dyDescent="0.25">
      <c r="A1739" t="s">
        <v>2</v>
      </c>
      <c r="B1739" t="s">
        <v>22</v>
      </c>
    </row>
    <row r="1741" spans="1:2" x14ac:dyDescent="0.25">
      <c r="A1741" t="s">
        <v>4</v>
      </c>
      <c r="B1741" t="s">
        <v>6</v>
      </c>
    </row>
    <row r="1743" spans="1:2" x14ac:dyDescent="0.25">
      <c r="A1743" t="s">
        <v>2</v>
      </c>
      <c r="B1743" t="s">
        <v>1</v>
      </c>
    </row>
    <row r="1745" spans="1:3" x14ac:dyDescent="0.25">
      <c r="A1745" t="s">
        <v>2</v>
      </c>
      <c r="B1745" t="s">
        <v>18</v>
      </c>
    </row>
    <row r="1747" spans="1:3" x14ac:dyDescent="0.25">
      <c r="A1747" t="s">
        <v>17</v>
      </c>
      <c r="B1747" t="s">
        <v>5</v>
      </c>
    </row>
    <row r="1750" spans="1:3" x14ac:dyDescent="0.25">
      <c r="A1750" t="s">
        <v>75</v>
      </c>
      <c r="C1750" t="str">
        <f>IF(COUNTIF(A1750:A1782,"LAUNCH1.vbs"),"launch1","-")&amp;IF(COUNTIF(A1750:A1782,"LAUNCH2.vbs"),"launch2","-")&amp;IF(COUNTIF(A1750:A1782,"LAUNCH3.vbs"),"launch3","-")&amp;IF(COUNTIF(A1750:A1782,"LAUNCH4.vbs"),"launch4","-")&amp;IF(COUNTIF(A1750:A1782,"LAUNCH5.vbs"),"launch5","-")</f>
        <v>launch1launch2launch3launch4launch5</v>
      </c>
    </row>
    <row r="1752" spans="1:3" x14ac:dyDescent="0.25">
      <c r="A1752" t="s">
        <v>4</v>
      </c>
      <c r="B1752" t="s">
        <v>1</v>
      </c>
    </row>
    <row r="1754" spans="1:3" x14ac:dyDescent="0.25">
      <c r="A1754" t="s">
        <v>7</v>
      </c>
      <c r="B1754" t="s">
        <v>15</v>
      </c>
    </row>
    <row r="1756" spans="1:3" x14ac:dyDescent="0.25">
      <c r="A1756" t="s">
        <v>20</v>
      </c>
      <c r="B1756" t="s">
        <v>3</v>
      </c>
    </row>
    <row r="1758" spans="1:3" x14ac:dyDescent="0.25">
      <c r="A1758" t="s">
        <v>4</v>
      </c>
      <c r="B1758" t="s">
        <v>14</v>
      </c>
    </row>
    <row r="1760" spans="1:3" x14ac:dyDescent="0.25">
      <c r="A1760" t="s">
        <v>4</v>
      </c>
      <c r="B1760" t="s">
        <v>22</v>
      </c>
    </row>
    <row r="1762" spans="1:2" x14ac:dyDescent="0.25">
      <c r="A1762" t="s">
        <v>2</v>
      </c>
      <c r="B1762" t="s">
        <v>16</v>
      </c>
    </row>
    <row r="1764" spans="1:2" x14ac:dyDescent="0.25">
      <c r="A1764" t="s">
        <v>2</v>
      </c>
      <c r="B1764" t="s">
        <v>19</v>
      </c>
    </row>
    <row r="1766" spans="1:2" x14ac:dyDescent="0.25">
      <c r="A1766" t="s">
        <v>2</v>
      </c>
      <c r="B1766" t="s">
        <v>9</v>
      </c>
    </row>
    <row r="1768" spans="1:2" x14ac:dyDescent="0.25">
      <c r="A1768" t="s">
        <v>2</v>
      </c>
      <c r="B1768" t="s">
        <v>11</v>
      </c>
    </row>
    <row r="1770" spans="1:2" x14ac:dyDescent="0.25">
      <c r="A1770" t="s">
        <v>4</v>
      </c>
      <c r="B1770" t="s">
        <v>21</v>
      </c>
    </row>
    <row r="1772" spans="1:2" x14ac:dyDescent="0.25">
      <c r="A1772" t="s">
        <v>10</v>
      </c>
      <c r="B1772" t="s">
        <v>13</v>
      </c>
    </row>
    <row r="1774" spans="1:2" x14ac:dyDescent="0.25">
      <c r="A1774" t="s">
        <v>17</v>
      </c>
      <c r="B1774" t="s">
        <v>8</v>
      </c>
    </row>
    <row r="1776" spans="1:2" x14ac:dyDescent="0.25">
      <c r="A1776" t="s">
        <v>2</v>
      </c>
      <c r="B1776" t="s">
        <v>6</v>
      </c>
    </row>
    <row r="1778" spans="1:3" x14ac:dyDescent="0.25">
      <c r="A1778" t="s">
        <v>4</v>
      </c>
      <c r="B1778" t="s">
        <v>18</v>
      </c>
    </row>
    <row r="1780" spans="1:3" x14ac:dyDescent="0.25">
      <c r="A1780" t="s">
        <v>12</v>
      </c>
      <c r="B1780" t="s">
        <v>5</v>
      </c>
    </row>
    <row r="1783" spans="1:3" x14ac:dyDescent="0.25">
      <c r="A1783" t="s">
        <v>76</v>
      </c>
      <c r="C1783" t="str">
        <f>IF(COUNTIF(A1783:A1815,"LAUNCH1.vbs"),"launch1","-")&amp;IF(COUNTIF(A1783:A1815,"LAUNCH2.vbs"),"launch2","-")&amp;IF(COUNTIF(A1783:A1815,"LAUNCH3.vbs"),"launch3","-")&amp;IF(COUNTIF(A1783:A1815,"LAUNCH4.vbs"),"launch4","-")&amp;IF(COUNTIF(A1783:A1815,"LAUNCH5.vbs"),"launch5","-")</f>
        <v>launch1launch2launch3launch4launch5</v>
      </c>
    </row>
    <row r="1785" spans="1:3" x14ac:dyDescent="0.25">
      <c r="A1785" t="s">
        <v>2</v>
      </c>
      <c r="B1785" t="s">
        <v>8</v>
      </c>
    </row>
    <row r="1787" spans="1:3" x14ac:dyDescent="0.25">
      <c r="A1787" t="s">
        <v>12</v>
      </c>
      <c r="B1787" t="s">
        <v>18</v>
      </c>
    </row>
    <row r="1789" spans="1:3" x14ac:dyDescent="0.25">
      <c r="A1789" t="s">
        <v>20</v>
      </c>
      <c r="B1789" t="s">
        <v>1</v>
      </c>
    </row>
    <row r="1791" spans="1:3" x14ac:dyDescent="0.25">
      <c r="A1791" t="s">
        <v>17</v>
      </c>
      <c r="B1791" t="s">
        <v>14</v>
      </c>
    </row>
    <row r="1793" spans="1:2" x14ac:dyDescent="0.25">
      <c r="A1793" t="s">
        <v>2</v>
      </c>
      <c r="B1793" t="s">
        <v>5</v>
      </c>
    </row>
    <row r="1795" spans="1:2" x14ac:dyDescent="0.25">
      <c r="A1795" t="s">
        <v>4</v>
      </c>
      <c r="B1795" t="s">
        <v>11</v>
      </c>
    </row>
    <row r="1797" spans="1:2" x14ac:dyDescent="0.25">
      <c r="A1797" t="s">
        <v>4</v>
      </c>
      <c r="B1797" t="s">
        <v>19</v>
      </c>
    </row>
    <row r="1799" spans="1:2" x14ac:dyDescent="0.25">
      <c r="A1799" t="s">
        <v>4</v>
      </c>
      <c r="B1799" t="s">
        <v>6</v>
      </c>
    </row>
    <row r="1801" spans="1:2" x14ac:dyDescent="0.25">
      <c r="A1801" t="s">
        <v>2</v>
      </c>
      <c r="B1801" t="s">
        <v>3</v>
      </c>
    </row>
    <row r="1803" spans="1:2" x14ac:dyDescent="0.25">
      <c r="A1803" t="s">
        <v>7</v>
      </c>
      <c r="B1803" t="s">
        <v>22</v>
      </c>
    </row>
    <row r="1805" spans="1:2" x14ac:dyDescent="0.25">
      <c r="A1805" t="s">
        <v>2</v>
      </c>
      <c r="B1805" t="s">
        <v>15</v>
      </c>
    </row>
    <row r="1807" spans="1:2" x14ac:dyDescent="0.25">
      <c r="A1807" t="s">
        <v>10</v>
      </c>
      <c r="B1807" t="s">
        <v>21</v>
      </c>
    </row>
    <row r="1809" spans="1:3" x14ac:dyDescent="0.25">
      <c r="A1809" t="s">
        <v>4</v>
      </c>
      <c r="B1809" t="s">
        <v>9</v>
      </c>
    </row>
    <row r="1811" spans="1:3" x14ac:dyDescent="0.25">
      <c r="A1811" t="s">
        <v>4</v>
      </c>
      <c r="B1811" t="s">
        <v>16</v>
      </c>
    </row>
    <row r="1813" spans="1:3" x14ac:dyDescent="0.25">
      <c r="A1813" t="s">
        <v>2</v>
      </c>
      <c r="B1813" t="s">
        <v>13</v>
      </c>
    </row>
    <row r="1816" spans="1:3" x14ac:dyDescent="0.25">
      <c r="A1816" t="s">
        <v>77</v>
      </c>
      <c r="C1816" t="str">
        <f>IF(COUNTIF(A1816:A1848,"LAUNCH1.vbs"),"launch1","-")&amp;IF(COUNTIF(A1816:A1848,"LAUNCH2.vbs"),"launch2","-")&amp;IF(COUNTIF(A1816:A1848,"LAUNCH3.vbs"),"launch3","-")&amp;IF(COUNTIF(A1816:A1848,"LAUNCH4.vbs"),"launch4","-")&amp;IF(COUNTIF(A1816:A1848,"LAUNCH5.vbs"),"launch5","-")</f>
        <v>launch1launch2launch3launch4launch5</v>
      </c>
    </row>
    <row r="1818" spans="1:3" x14ac:dyDescent="0.25">
      <c r="A1818" t="s">
        <v>4</v>
      </c>
      <c r="B1818" t="s">
        <v>18</v>
      </c>
    </row>
    <row r="1820" spans="1:3" x14ac:dyDescent="0.25">
      <c r="A1820" t="s">
        <v>17</v>
      </c>
      <c r="B1820" t="s">
        <v>19</v>
      </c>
    </row>
    <row r="1822" spans="1:3" x14ac:dyDescent="0.25">
      <c r="A1822" t="s">
        <v>2</v>
      </c>
      <c r="B1822" t="s">
        <v>5</v>
      </c>
    </row>
    <row r="1824" spans="1:3" x14ac:dyDescent="0.25">
      <c r="A1824" t="s">
        <v>2</v>
      </c>
      <c r="B1824" t="s">
        <v>15</v>
      </c>
    </row>
    <row r="1826" spans="1:2" x14ac:dyDescent="0.25">
      <c r="A1826" t="s">
        <v>12</v>
      </c>
      <c r="B1826" t="s">
        <v>16</v>
      </c>
    </row>
    <row r="1828" spans="1:2" x14ac:dyDescent="0.25">
      <c r="A1828" t="s">
        <v>4</v>
      </c>
      <c r="B1828" t="s">
        <v>1</v>
      </c>
    </row>
    <row r="1830" spans="1:2" x14ac:dyDescent="0.25">
      <c r="A1830" t="s">
        <v>4</v>
      </c>
      <c r="B1830" t="s">
        <v>22</v>
      </c>
    </row>
    <row r="1832" spans="1:2" x14ac:dyDescent="0.25">
      <c r="A1832" t="s">
        <v>4</v>
      </c>
      <c r="B1832" t="s">
        <v>14</v>
      </c>
    </row>
    <row r="1834" spans="1:2" x14ac:dyDescent="0.25">
      <c r="A1834" t="s">
        <v>2</v>
      </c>
      <c r="B1834" t="s">
        <v>3</v>
      </c>
    </row>
    <row r="1836" spans="1:2" x14ac:dyDescent="0.25">
      <c r="A1836" t="s">
        <v>20</v>
      </c>
      <c r="B1836" t="s">
        <v>9</v>
      </c>
    </row>
    <row r="1838" spans="1:2" x14ac:dyDescent="0.25">
      <c r="A1838" t="s">
        <v>2</v>
      </c>
      <c r="B1838" t="s">
        <v>13</v>
      </c>
    </row>
    <row r="1840" spans="1:2" x14ac:dyDescent="0.25">
      <c r="A1840" t="s">
        <v>4</v>
      </c>
      <c r="B1840" t="s">
        <v>21</v>
      </c>
    </row>
    <row r="1842" spans="1:3" x14ac:dyDescent="0.25">
      <c r="A1842" t="s">
        <v>2</v>
      </c>
      <c r="B1842" t="s">
        <v>8</v>
      </c>
    </row>
    <row r="1844" spans="1:3" x14ac:dyDescent="0.25">
      <c r="A1844" t="s">
        <v>10</v>
      </c>
      <c r="B1844" t="s">
        <v>11</v>
      </c>
    </row>
    <row r="1846" spans="1:3" x14ac:dyDescent="0.25">
      <c r="A1846" t="s">
        <v>7</v>
      </c>
      <c r="B1846" t="s">
        <v>6</v>
      </c>
    </row>
    <row r="1849" spans="1:3" x14ac:dyDescent="0.25">
      <c r="A1849" t="s">
        <v>78</v>
      </c>
      <c r="C1849" t="str">
        <f>IF(COUNTIF(A1849:A1881,"LAUNCH1.vbs"),"launch1","-")&amp;IF(COUNTIF(A1849:A1881,"LAUNCH2.vbs"),"launch2","-")&amp;IF(COUNTIF(A1849:A1881,"LAUNCH3.vbs"),"launch3","-")&amp;IF(COUNTIF(A1849:A1881,"LAUNCH4.vbs"),"launch4","-")&amp;IF(COUNTIF(A1849:A1881,"LAUNCH5.vbs"),"launch5","-")</f>
        <v>launch1launch2launch3launch4launch5</v>
      </c>
    </row>
    <row r="1851" spans="1:3" x14ac:dyDescent="0.25">
      <c r="A1851" t="s">
        <v>12</v>
      </c>
      <c r="B1851" t="s">
        <v>9</v>
      </c>
    </row>
    <row r="1853" spans="1:3" x14ac:dyDescent="0.25">
      <c r="A1853" t="s">
        <v>2</v>
      </c>
      <c r="B1853" t="s">
        <v>13</v>
      </c>
    </row>
    <row r="1855" spans="1:3" x14ac:dyDescent="0.25">
      <c r="A1855" t="s">
        <v>4</v>
      </c>
      <c r="B1855" t="s">
        <v>22</v>
      </c>
    </row>
    <row r="1857" spans="1:2" x14ac:dyDescent="0.25">
      <c r="A1857" t="s">
        <v>10</v>
      </c>
      <c r="B1857" t="s">
        <v>19</v>
      </c>
    </row>
    <row r="1859" spans="1:2" x14ac:dyDescent="0.25">
      <c r="A1859" t="s">
        <v>2</v>
      </c>
      <c r="B1859" t="s">
        <v>5</v>
      </c>
    </row>
    <row r="1861" spans="1:2" x14ac:dyDescent="0.25">
      <c r="A1861" t="s">
        <v>2</v>
      </c>
      <c r="B1861" t="s">
        <v>3</v>
      </c>
    </row>
    <row r="1863" spans="1:2" x14ac:dyDescent="0.25">
      <c r="A1863" t="s">
        <v>20</v>
      </c>
      <c r="B1863" t="s">
        <v>6</v>
      </c>
    </row>
    <row r="1865" spans="1:2" x14ac:dyDescent="0.25">
      <c r="A1865" t="s">
        <v>17</v>
      </c>
      <c r="B1865" t="s">
        <v>11</v>
      </c>
    </row>
    <row r="1867" spans="1:2" x14ac:dyDescent="0.25">
      <c r="A1867" t="s">
        <v>2</v>
      </c>
      <c r="B1867" t="s">
        <v>8</v>
      </c>
    </row>
    <row r="1869" spans="1:2" x14ac:dyDescent="0.25">
      <c r="A1869" t="s">
        <v>4</v>
      </c>
      <c r="B1869" t="s">
        <v>14</v>
      </c>
    </row>
    <row r="1871" spans="1:2" x14ac:dyDescent="0.25">
      <c r="A1871" t="s">
        <v>4</v>
      </c>
      <c r="B1871" t="s">
        <v>21</v>
      </c>
    </row>
    <row r="1873" spans="1:3" x14ac:dyDescent="0.25">
      <c r="A1873" t="s">
        <v>2</v>
      </c>
      <c r="B1873" t="s">
        <v>15</v>
      </c>
    </row>
    <row r="1875" spans="1:3" x14ac:dyDescent="0.25">
      <c r="A1875" t="s">
        <v>4</v>
      </c>
      <c r="B1875" t="s">
        <v>18</v>
      </c>
    </row>
    <row r="1877" spans="1:3" x14ac:dyDescent="0.25">
      <c r="A1877" t="s">
        <v>4</v>
      </c>
      <c r="B1877" t="s">
        <v>1</v>
      </c>
    </row>
    <row r="1879" spans="1:3" x14ac:dyDescent="0.25">
      <c r="A1879" t="s">
        <v>7</v>
      </c>
      <c r="B1879" t="s">
        <v>16</v>
      </c>
    </row>
    <row r="1882" spans="1:3" x14ac:dyDescent="0.25">
      <c r="A1882" t="s">
        <v>79</v>
      </c>
      <c r="C1882" t="str">
        <f>IF(COUNTIF(A1882:A1914,"LAUNCH1.vbs"),"launch1","-")&amp;IF(COUNTIF(A1882:A1914,"LAUNCH2.vbs"),"launch2","-")&amp;IF(COUNTIF(A1882:A1914,"LAUNCH3.vbs"),"launch3","-")&amp;IF(COUNTIF(A1882:A1914,"LAUNCH4.vbs"),"launch4","-")&amp;IF(COUNTIF(A1882:A1914,"LAUNCH5.vbs"),"launch5","-")</f>
        <v>launch1launch2launch3launch4launch5</v>
      </c>
    </row>
    <row r="1884" spans="1:3" x14ac:dyDescent="0.25">
      <c r="A1884" t="s">
        <v>10</v>
      </c>
      <c r="B1884" t="s">
        <v>9</v>
      </c>
    </row>
    <row r="1886" spans="1:3" x14ac:dyDescent="0.25">
      <c r="A1886" t="s">
        <v>4</v>
      </c>
      <c r="B1886" t="s">
        <v>5</v>
      </c>
    </row>
    <row r="1888" spans="1:3" x14ac:dyDescent="0.25">
      <c r="A1888" t="s">
        <v>4</v>
      </c>
      <c r="B1888" t="s">
        <v>13</v>
      </c>
    </row>
    <row r="1890" spans="1:2" x14ac:dyDescent="0.25">
      <c r="A1890" t="s">
        <v>2</v>
      </c>
      <c r="B1890" t="s">
        <v>1</v>
      </c>
    </row>
    <row r="1892" spans="1:2" x14ac:dyDescent="0.25">
      <c r="A1892" t="s">
        <v>2</v>
      </c>
      <c r="B1892" t="s">
        <v>18</v>
      </c>
    </row>
    <row r="1894" spans="1:2" x14ac:dyDescent="0.25">
      <c r="A1894" t="s">
        <v>2</v>
      </c>
      <c r="B1894" t="s">
        <v>21</v>
      </c>
    </row>
    <row r="1896" spans="1:2" x14ac:dyDescent="0.25">
      <c r="A1896" t="s">
        <v>20</v>
      </c>
      <c r="B1896" t="s">
        <v>16</v>
      </c>
    </row>
    <row r="1898" spans="1:2" x14ac:dyDescent="0.25">
      <c r="A1898" t="s">
        <v>2</v>
      </c>
      <c r="B1898" t="s">
        <v>22</v>
      </c>
    </row>
    <row r="1900" spans="1:2" x14ac:dyDescent="0.25">
      <c r="A1900" t="s">
        <v>12</v>
      </c>
      <c r="B1900" t="s">
        <v>11</v>
      </c>
    </row>
    <row r="1902" spans="1:2" x14ac:dyDescent="0.25">
      <c r="A1902" t="s">
        <v>4</v>
      </c>
      <c r="B1902" t="s">
        <v>3</v>
      </c>
    </row>
    <row r="1904" spans="1:2" x14ac:dyDescent="0.25">
      <c r="A1904" t="s">
        <v>17</v>
      </c>
      <c r="B1904" t="s">
        <v>6</v>
      </c>
    </row>
    <row r="1906" spans="1:3" x14ac:dyDescent="0.25">
      <c r="A1906" t="s">
        <v>2</v>
      </c>
      <c r="B1906" t="s">
        <v>14</v>
      </c>
    </row>
    <row r="1908" spans="1:3" x14ac:dyDescent="0.25">
      <c r="A1908" t="s">
        <v>7</v>
      </c>
      <c r="B1908" t="s">
        <v>19</v>
      </c>
    </row>
    <row r="1910" spans="1:3" x14ac:dyDescent="0.25">
      <c r="A1910" t="s">
        <v>4</v>
      </c>
      <c r="B1910" t="s">
        <v>15</v>
      </c>
    </row>
    <row r="1912" spans="1:3" x14ac:dyDescent="0.25">
      <c r="A1912" t="s">
        <v>4</v>
      </c>
      <c r="B1912" t="s">
        <v>8</v>
      </c>
    </row>
    <row r="1915" spans="1:3" x14ac:dyDescent="0.25">
      <c r="A1915" t="s">
        <v>80</v>
      </c>
      <c r="C1915" t="str">
        <f>IF(COUNTIF(A1915:A1947,"LAUNCH1.vbs"),"launch1","-")&amp;IF(COUNTIF(A1915:A1947,"LAUNCH2.vbs"),"launch2","-")&amp;IF(COUNTIF(A1915:A1947,"LAUNCH3.vbs"),"launch3","-")&amp;IF(COUNTIF(A1915:A1947,"LAUNCH4.vbs"),"launch4","-")&amp;IF(COUNTIF(A1915:A1947,"LAUNCH5.vbs"),"launch5","-")</f>
        <v>launch1launch2launch3launch4launch5</v>
      </c>
    </row>
    <row r="1917" spans="1:3" x14ac:dyDescent="0.25">
      <c r="A1917" t="s">
        <v>4</v>
      </c>
      <c r="B1917" t="s">
        <v>8</v>
      </c>
    </row>
    <row r="1919" spans="1:3" x14ac:dyDescent="0.25">
      <c r="A1919" t="s">
        <v>4</v>
      </c>
      <c r="B1919" t="s">
        <v>5</v>
      </c>
    </row>
    <row r="1921" spans="1:2" x14ac:dyDescent="0.25">
      <c r="A1921" t="s">
        <v>4</v>
      </c>
      <c r="B1921" t="s">
        <v>15</v>
      </c>
    </row>
    <row r="1923" spans="1:2" x14ac:dyDescent="0.25">
      <c r="A1923" t="s">
        <v>7</v>
      </c>
      <c r="B1923" t="s">
        <v>14</v>
      </c>
    </row>
    <row r="1925" spans="1:2" x14ac:dyDescent="0.25">
      <c r="A1925" t="s">
        <v>17</v>
      </c>
      <c r="B1925" t="s">
        <v>22</v>
      </c>
    </row>
    <row r="1927" spans="1:2" x14ac:dyDescent="0.25">
      <c r="A1927" t="s">
        <v>4</v>
      </c>
      <c r="B1927" t="s">
        <v>3</v>
      </c>
    </row>
    <row r="1929" spans="1:2" x14ac:dyDescent="0.25">
      <c r="A1929" t="s">
        <v>2</v>
      </c>
      <c r="B1929" t="s">
        <v>11</v>
      </c>
    </row>
    <row r="1931" spans="1:2" x14ac:dyDescent="0.25">
      <c r="A1931" t="s">
        <v>2</v>
      </c>
      <c r="B1931" t="s">
        <v>19</v>
      </c>
    </row>
    <row r="1933" spans="1:2" x14ac:dyDescent="0.25">
      <c r="A1933" t="s">
        <v>2</v>
      </c>
      <c r="B1933" t="s">
        <v>6</v>
      </c>
    </row>
    <row r="1935" spans="1:2" x14ac:dyDescent="0.25">
      <c r="A1935" t="s">
        <v>4</v>
      </c>
      <c r="B1935" t="s">
        <v>13</v>
      </c>
    </row>
    <row r="1937" spans="1:3" x14ac:dyDescent="0.25">
      <c r="A1937" t="s">
        <v>10</v>
      </c>
      <c r="B1937" t="s">
        <v>18</v>
      </c>
    </row>
    <row r="1939" spans="1:3" x14ac:dyDescent="0.25">
      <c r="A1939" t="s">
        <v>2</v>
      </c>
      <c r="B1939" t="s">
        <v>9</v>
      </c>
    </row>
    <row r="1941" spans="1:3" x14ac:dyDescent="0.25">
      <c r="A1941" t="s">
        <v>2</v>
      </c>
      <c r="B1941" t="s">
        <v>16</v>
      </c>
    </row>
    <row r="1943" spans="1:3" x14ac:dyDescent="0.25">
      <c r="A1943" t="s">
        <v>20</v>
      </c>
      <c r="B1943" t="s">
        <v>21</v>
      </c>
    </row>
    <row r="1945" spans="1:3" x14ac:dyDescent="0.25">
      <c r="A1945" t="s">
        <v>12</v>
      </c>
      <c r="B1945" t="s">
        <v>1</v>
      </c>
    </row>
    <row r="1948" spans="1:3" x14ac:dyDescent="0.25">
      <c r="A1948" t="s">
        <v>81</v>
      </c>
      <c r="C1948" t="str">
        <f>IF(COUNTIF(A1948:A1980,"LAUNCH1.vbs"),"launch1","-")&amp;IF(COUNTIF(A1948:A1980,"LAUNCH2.vbs"),"launch2","-")&amp;IF(COUNTIF(A1948:A1980,"LAUNCH3.vbs"),"launch3","-")&amp;IF(COUNTIF(A1948:A1980,"LAUNCH4.vbs"),"launch4","-")&amp;IF(COUNTIF(A1948:A1980,"LAUNCH5.vbs"),"launch5","-")</f>
        <v>launch1launch2launch3launch4launch5</v>
      </c>
    </row>
    <row r="1950" spans="1:3" x14ac:dyDescent="0.25">
      <c r="A1950" t="s">
        <v>10</v>
      </c>
      <c r="B1950" t="s">
        <v>5</v>
      </c>
    </row>
    <row r="1952" spans="1:3" x14ac:dyDescent="0.25">
      <c r="A1952" t="s">
        <v>17</v>
      </c>
      <c r="B1952" t="s">
        <v>3</v>
      </c>
    </row>
    <row r="1954" spans="1:2" x14ac:dyDescent="0.25">
      <c r="A1954" t="s">
        <v>2</v>
      </c>
      <c r="B1954" t="s">
        <v>18</v>
      </c>
    </row>
    <row r="1956" spans="1:2" x14ac:dyDescent="0.25">
      <c r="A1956" t="s">
        <v>12</v>
      </c>
      <c r="B1956" t="s">
        <v>15</v>
      </c>
    </row>
    <row r="1958" spans="1:2" x14ac:dyDescent="0.25">
      <c r="A1958" t="s">
        <v>20</v>
      </c>
      <c r="B1958" t="s">
        <v>13</v>
      </c>
    </row>
    <row r="1960" spans="1:2" x14ac:dyDescent="0.25">
      <c r="A1960" t="s">
        <v>2</v>
      </c>
      <c r="B1960" t="s">
        <v>22</v>
      </c>
    </row>
    <row r="1962" spans="1:2" x14ac:dyDescent="0.25">
      <c r="A1962" t="s">
        <v>2</v>
      </c>
      <c r="B1962" t="s">
        <v>1</v>
      </c>
    </row>
    <row r="1964" spans="1:2" x14ac:dyDescent="0.25">
      <c r="A1964" t="s">
        <v>4</v>
      </c>
      <c r="B1964" t="s">
        <v>19</v>
      </c>
    </row>
    <row r="1966" spans="1:2" x14ac:dyDescent="0.25">
      <c r="A1966" t="s">
        <v>2</v>
      </c>
      <c r="B1966" t="s">
        <v>21</v>
      </c>
    </row>
    <row r="1968" spans="1:2" x14ac:dyDescent="0.25">
      <c r="A1968" t="s">
        <v>4</v>
      </c>
      <c r="B1968" t="s">
        <v>11</v>
      </c>
    </row>
    <row r="1970" spans="1:2" x14ac:dyDescent="0.25">
      <c r="A1970" t="s">
        <v>4</v>
      </c>
      <c r="B1970" t="s">
        <v>9</v>
      </c>
    </row>
    <row r="1972" spans="1:2" x14ac:dyDescent="0.25">
      <c r="A1972" t="s">
        <v>2</v>
      </c>
      <c r="B1972" t="s">
        <v>14</v>
      </c>
    </row>
    <row r="1974" spans="1:2" x14ac:dyDescent="0.25">
      <c r="A1974" t="s">
        <v>4</v>
      </c>
      <c r="B1974" t="s">
        <v>16</v>
      </c>
    </row>
    <row r="1976" spans="1:2" x14ac:dyDescent="0.25">
      <c r="A1976" t="s">
        <v>7</v>
      </c>
      <c r="B1976" t="s">
        <v>8</v>
      </c>
    </row>
    <row r="1978" spans="1:2" x14ac:dyDescent="0.25">
      <c r="A1978" t="s">
        <v>4</v>
      </c>
      <c r="B1978" t="s">
        <v>6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61"/>
  <sheetViews>
    <sheetView workbookViewId="0">
      <selection sqref="A1:A1048576"/>
    </sheetView>
  </sheetViews>
  <sheetFormatPr defaultRowHeight="15" x14ac:dyDescent="0.25"/>
  <sheetData>
    <row r="1" spans="1:1" x14ac:dyDescent="0.25">
      <c r="A1" t="s">
        <v>112</v>
      </c>
    </row>
    <row r="2" spans="1:1" x14ac:dyDescent="0.25">
      <c r="A2" t="s">
        <v>112</v>
      </c>
    </row>
    <row r="3" spans="1:1" x14ac:dyDescent="0.25">
      <c r="A3" t="s">
        <v>112</v>
      </c>
    </row>
    <row r="4" spans="1:1" x14ac:dyDescent="0.25">
      <c r="A4" t="s">
        <v>112</v>
      </c>
    </row>
    <row r="5" spans="1:1" x14ac:dyDescent="0.25">
      <c r="A5" t="s">
        <v>112</v>
      </c>
    </row>
    <row r="6" spans="1:1" x14ac:dyDescent="0.25">
      <c r="A6" t="s">
        <v>112</v>
      </c>
    </row>
    <row r="7" spans="1:1" x14ac:dyDescent="0.25">
      <c r="A7" t="s">
        <v>112</v>
      </c>
    </row>
    <row r="8" spans="1:1" x14ac:dyDescent="0.25">
      <c r="A8" t="s">
        <v>112</v>
      </c>
    </row>
    <row r="9" spans="1:1" x14ac:dyDescent="0.25">
      <c r="A9" t="s">
        <v>112</v>
      </c>
    </row>
    <row r="10" spans="1:1" x14ac:dyDescent="0.25">
      <c r="A10" t="s">
        <v>112</v>
      </c>
    </row>
    <row r="11" spans="1:1" x14ac:dyDescent="0.25">
      <c r="A11" t="s">
        <v>112</v>
      </c>
    </row>
    <row r="12" spans="1:1" x14ac:dyDescent="0.25">
      <c r="A12" t="s">
        <v>112</v>
      </c>
    </row>
    <row r="13" spans="1:1" x14ac:dyDescent="0.25">
      <c r="A13" t="s">
        <v>112</v>
      </c>
    </row>
    <row r="14" spans="1:1" x14ac:dyDescent="0.25">
      <c r="A14" t="s">
        <v>112</v>
      </c>
    </row>
    <row r="15" spans="1:1" x14ac:dyDescent="0.25">
      <c r="A15" t="s">
        <v>112</v>
      </c>
    </row>
    <row r="16" spans="1:1" x14ac:dyDescent="0.25">
      <c r="A16" t="s">
        <v>112</v>
      </c>
    </row>
    <row r="17" spans="1:1" x14ac:dyDescent="0.25">
      <c r="A17" t="s">
        <v>112</v>
      </c>
    </row>
    <row r="18" spans="1:1" x14ac:dyDescent="0.25">
      <c r="A18" t="s">
        <v>112</v>
      </c>
    </row>
    <row r="19" spans="1:1" x14ac:dyDescent="0.25">
      <c r="A19" t="s">
        <v>112</v>
      </c>
    </row>
    <row r="20" spans="1:1" x14ac:dyDescent="0.25">
      <c r="A20" t="s">
        <v>112</v>
      </c>
    </row>
    <row r="21" spans="1:1" x14ac:dyDescent="0.25">
      <c r="A21" t="s">
        <v>112</v>
      </c>
    </row>
    <row r="22" spans="1:1" x14ac:dyDescent="0.25">
      <c r="A22" t="s">
        <v>112</v>
      </c>
    </row>
    <row r="23" spans="1:1" x14ac:dyDescent="0.25">
      <c r="A23" t="s">
        <v>112</v>
      </c>
    </row>
    <row r="24" spans="1:1" x14ac:dyDescent="0.25">
      <c r="A24" t="s">
        <v>112</v>
      </c>
    </row>
    <row r="25" spans="1:1" x14ac:dyDescent="0.25">
      <c r="A25" t="s">
        <v>112</v>
      </c>
    </row>
    <row r="26" spans="1:1" x14ac:dyDescent="0.25">
      <c r="A26" t="s">
        <v>112</v>
      </c>
    </row>
    <row r="27" spans="1:1" x14ac:dyDescent="0.25">
      <c r="A27" t="s">
        <v>112</v>
      </c>
    </row>
    <row r="28" spans="1:1" x14ac:dyDescent="0.25">
      <c r="A28" t="s">
        <v>112</v>
      </c>
    </row>
    <row r="29" spans="1:1" x14ac:dyDescent="0.25">
      <c r="A29" t="s">
        <v>112</v>
      </c>
    </row>
    <row r="30" spans="1:1" x14ac:dyDescent="0.25">
      <c r="A30" t="s">
        <v>112</v>
      </c>
    </row>
    <row r="31" spans="1:1" x14ac:dyDescent="0.25">
      <c r="A31" t="s">
        <v>112</v>
      </c>
    </row>
    <row r="32" spans="1:1" x14ac:dyDescent="0.25">
      <c r="A32" t="s">
        <v>112</v>
      </c>
    </row>
    <row r="33" spans="1:1" x14ac:dyDescent="0.25">
      <c r="A33" t="s">
        <v>112</v>
      </c>
    </row>
    <row r="34" spans="1:1" x14ac:dyDescent="0.25">
      <c r="A34" t="s">
        <v>112</v>
      </c>
    </row>
    <row r="35" spans="1:1" x14ac:dyDescent="0.25">
      <c r="A35" t="s">
        <v>112</v>
      </c>
    </row>
    <row r="36" spans="1:1" x14ac:dyDescent="0.25">
      <c r="A36" t="s">
        <v>112</v>
      </c>
    </row>
    <row r="37" spans="1:1" x14ac:dyDescent="0.25">
      <c r="A37" t="s">
        <v>112</v>
      </c>
    </row>
    <row r="38" spans="1:1" x14ac:dyDescent="0.25">
      <c r="A38" t="s">
        <v>112</v>
      </c>
    </row>
    <row r="39" spans="1:1" x14ac:dyDescent="0.25">
      <c r="A39" t="s">
        <v>112</v>
      </c>
    </row>
    <row r="40" spans="1:1" x14ac:dyDescent="0.25">
      <c r="A40" t="s">
        <v>112</v>
      </c>
    </row>
    <row r="41" spans="1:1" x14ac:dyDescent="0.25">
      <c r="A41" t="s">
        <v>112</v>
      </c>
    </row>
    <row r="42" spans="1:1" x14ac:dyDescent="0.25">
      <c r="A42" t="s">
        <v>112</v>
      </c>
    </row>
    <row r="43" spans="1:1" x14ac:dyDescent="0.25">
      <c r="A43" t="s">
        <v>112</v>
      </c>
    </row>
    <row r="44" spans="1:1" x14ac:dyDescent="0.25">
      <c r="A44" t="s">
        <v>112</v>
      </c>
    </row>
    <row r="45" spans="1:1" x14ac:dyDescent="0.25">
      <c r="A45" t="s">
        <v>112</v>
      </c>
    </row>
    <row r="46" spans="1:1" x14ac:dyDescent="0.25">
      <c r="A46" t="s">
        <v>112</v>
      </c>
    </row>
    <row r="47" spans="1:1" x14ac:dyDescent="0.25">
      <c r="A47" t="s">
        <v>112</v>
      </c>
    </row>
    <row r="48" spans="1:1" x14ac:dyDescent="0.25">
      <c r="A48" t="s">
        <v>112</v>
      </c>
    </row>
    <row r="49" spans="1:1" x14ac:dyDescent="0.25">
      <c r="A49" t="s">
        <v>112</v>
      </c>
    </row>
    <row r="50" spans="1:1" x14ac:dyDescent="0.25">
      <c r="A50" t="s">
        <v>112</v>
      </c>
    </row>
    <row r="51" spans="1:1" x14ac:dyDescent="0.25">
      <c r="A51" t="s">
        <v>112</v>
      </c>
    </row>
    <row r="52" spans="1:1" x14ac:dyDescent="0.25">
      <c r="A52" t="s">
        <v>112</v>
      </c>
    </row>
    <row r="53" spans="1:1" x14ac:dyDescent="0.25">
      <c r="A53" t="s">
        <v>112</v>
      </c>
    </row>
    <row r="54" spans="1:1" x14ac:dyDescent="0.25">
      <c r="A54" t="s">
        <v>112</v>
      </c>
    </row>
    <row r="55" spans="1:1" x14ac:dyDescent="0.25">
      <c r="A55" t="s">
        <v>112</v>
      </c>
    </row>
    <row r="56" spans="1:1" x14ac:dyDescent="0.25">
      <c r="A56" t="s">
        <v>112</v>
      </c>
    </row>
    <row r="57" spans="1:1" x14ac:dyDescent="0.25">
      <c r="A57" t="s">
        <v>112</v>
      </c>
    </row>
    <row r="58" spans="1:1" x14ac:dyDescent="0.25">
      <c r="A58" t="s">
        <v>112</v>
      </c>
    </row>
    <row r="59" spans="1:1" x14ac:dyDescent="0.25">
      <c r="A59" t="s">
        <v>112</v>
      </c>
    </row>
    <row r="60" spans="1:1" x14ac:dyDescent="0.25">
      <c r="A60" t="s">
        <v>112</v>
      </c>
    </row>
    <row r="61" spans="1:1" x14ac:dyDescent="0.25">
      <c r="A61" t="s">
        <v>112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1979"/>
  <sheetViews>
    <sheetView topLeftCell="A7" workbookViewId="0">
      <selection activeCell="E2" sqref="E2:Q10"/>
    </sheetView>
  </sheetViews>
  <sheetFormatPr defaultRowHeight="15" x14ac:dyDescent="0.25"/>
  <cols>
    <col min="1" max="1" width="20.28515625" customWidth="1"/>
    <col min="12" max="12" width="10.140625" customWidth="1"/>
  </cols>
  <sheetData>
    <row r="1" spans="1:21" x14ac:dyDescent="0.25">
      <c r="A1" t="s">
        <v>0</v>
      </c>
    </row>
    <row r="2" spans="1:21" x14ac:dyDescent="0.25">
      <c r="F2" t="s">
        <v>97</v>
      </c>
    </row>
    <row r="3" spans="1:21" x14ac:dyDescent="0.25">
      <c r="A3" t="s">
        <v>2</v>
      </c>
      <c r="B3" t="s">
        <v>1</v>
      </c>
      <c r="F3" t="s">
        <v>82</v>
      </c>
      <c r="G3" t="s">
        <v>83</v>
      </c>
      <c r="H3" t="s">
        <v>84</v>
      </c>
      <c r="I3" t="s">
        <v>85</v>
      </c>
      <c r="J3" t="s">
        <v>86</v>
      </c>
      <c r="K3" t="s">
        <v>87</v>
      </c>
      <c r="L3" t="s">
        <v>88</v>
      </c>
      <c r="M3" t="s">
        <v>89</v>
      </c>
      <c r="N3" t="s">
        <v>90</v>
      </c>
      <c r="O3" t="s">
        <v>91</v>
      </c>
      <c r="P3" t="s">
        <v>92</v>
      </c>
      <c r="Q3" t="s">
        <v>93</v>
      </c>
      <c r="R3" t="s">
        <v>94</v>
      </c>
      <c r="S3" t="s">
        <v>95</v>
      </c>
      <c r="T3" t="s">
        <v>96</v>
      </c>
      <c r="U3" t="s">
        <v>109</v>
      </c>
    </row>
    <row r="4" spans="1:21" x14ac:dyDescent="0.25">
      <c r="E4" t="s">
        <v>98</v>
      </c>
      <c r="F4">
        <f>COUNTIF(C:C,"launch1.VBSscript1")</f>
        <v>3</v>
      </c>
      <c r="G4">
        <f>COUNTIF(C:C,"launch1.VBSscript2")</f>
        <v>5</v>
      </c>
      <c r="H4">
        <f>COUNTIF(C:C,"launch1.VBSscript3")</f>
        <v>5</v>
      </c>
      <c r="I4">
        <f>COUNTIF(C:C,"launch1.VBSscript4")</f>
        <v>6</v>
      </c>
      <c r="J4">
        <f>COUNTIF(C:C,"launch1.VBSscript5")</f>
        <v>3</v>
      </c>
      <c r="K4">
        <f>COUNTIF(C:C,"launch1.VBSscript6")</f>
        <v>3</v>
      </c>
      <c r="L4">
        <f>COUNTIF(C:C,"launch1.VBSscript7")</f>
        <v>3</v>
      </c>
      <c r="M4">
        <f>COUNTIF(C:C,"launch1.VBSscript8")</f>
        <v>1</v>
      </c>
      <c r="N4">
        <f>COUNTIF(C:C,"launch1.VBSscript9")</f>
        <v>4</v>
      </c>
      <c r="O4">
        <f>COUNTIF(C:C,"launch1.VBSscript10")</f>
        <v>0</v>
      </c>
      <c r="P4">
        <f>COUNTIF(C:C,"launch1.VBSscript11")</f>
        <v>6</v>
      </c>
      <c r="Q4">
        <f>COUNTIF(C:C,"launch1.VBSscript12")</f>
        <v>5</v>
      </c>
      <c r="R4">
        <f>COUNTIF(C:C,"launch1.VBSscript13")</f>
        <v>8</v>
      </c>
      <c r="S4">
        <f>COUNTIF(C:C,"launch1.VBSscript14")</f>
        <v>5</v>
      </c>
      <c r="T4">
        <f>COUNTIF(C:C,"launch1.VBSscript15")</f>
        <v>3</v>
      </c>
      <c r="U4">
        <f>SUM(F4:T4)</f>
        <v>60</v>
      </c>
    </row>
    <row r="5" spans="1:21" x14ac:dyDescent="0.25">
      <c r="A5" t="s">
        <v>4</v>
      </c>
      <c r="B5" t="s">
        <v>3</v>
      </c>
      <c r="E5" t="s">
        <v>99</v>
      </c>
      <c r="F5">
        <f>COUNTIF(C:C,"launch2.VBSscript1")</f>
        <v>2</v>
      </c>
      <c r="G5">
        <f>COUNTIF(C:C,"launch2.VBSscript2")</f>
        <v>2</v>
      </c>
      <c r="H5">
        <f>COUNTIF(C:C,"launch2.VBSscript3")</f>
        <v>6</v>
      </c>
      <c r="I5">
        <f>COUNTIF(C:C,"launch2.VBSscript4")</f>
        <v>4</v>
      </c>
      <c r="J5">
        <f>COUNTIF(C:C,"launch2.VBSscript5")</f>
        <v>3</v>
      </c>
      <c r="K5">
        <f>COUNTIF(C:C,"launch2.VBSscript6")</f>
        <v>5</v>
      </c>
      <c r="L5">
        <f>COUNTIF(C:C,"launch2.VBSscript7")</f>
        <v>4</v>
      </c>
      <c r="M5">
        <f>COUNTIF(C:C,"launch2.VBSscript8")</f>
        <v>7</v>
      </c>
      <c r="N5">
        <f>COUNTIF(C:C,"launch2.VBSscript9")</f>
        <v>3</v>
      </c>
      <c r="O5">
        <f>COUNTIF(C:C,"launch2.VBSscript10")</f>
        <v>3</v>
      </c>
      <c r="P5">
        <f>COUNTIF(C:C,"launch2.VBSscript11")</f>
        <v>5</v>
      </c>
      <c r="Q5">
        <f>COUNTIF(C:C,"launch2.VBSscript12")</f>
        <v>2</v>
      </c>
      <c r="R5">
        <f>COUNTIF(C:C,"launch2.VBSscript13")</f>
        <v>7</v>
      </c>
      <c r="S5">
        <f>COUNTIF(C:C,"launch2.VBSscript14")</f>
        <v>3</v>
      </c>
      <c r="T5">
        <f>COUNTIF(C:C,"launch2.VBSscript15")</f>
        <v>4</v>
      </c>
      <c r="U5">
        <f t="shared" ref="U5:U9" si="0">SUM(F5:T5)</f>
        <v>60</v>
      </c>
    </row>
    <row r="6" spans="1:21" x14ac:dyDescent="0.25">
      <c r="E6" t="s">
        <v>100</v>
      </c>
      <c r="F6">
        <f>COUNTIF(C:C,"launch3.VBSscript1")</f>
        <v>2</v>
      </c>
      <c r="G6">
        <f>COUNTIF(C:C,"launch3.VBSscript2")</f>
        <v>9</v>
      </c>
      <c r="H6">
        <f>COUNTIF(C:C,"launch3.VBSscript3")</f>
        <v>3</v>
      </c>
      <c r="I6">
        <f>COUNTIF(C:C,"launch3.VBSscript4")</f>
        <v>3</v>
      </c>
      <c r="J6">
        <f>COUNTIF(C:C,"launch3.VBSscript5")</f>
        <v>1</v>
      </c>
      <c r="K6">
        <f>COUNTIF(C:C,"launch3.VBSscript6")</f>
        <v>4</v>
      </c>
      <c r="L6">
        <f>COUNTIF(C:C,"launch3.VBSscript7")</f>
        <v>8</v>
      </c>
      <c r="M6">
        <f>COUNTIF(C:C,"launch3.VBSscript8")</f>
        <v>4</v>
      </c>
      <c r="N6">
        <f>COUNTIF(C:C,"launch3.VBSscript9")</f>
        <v>4</v>
      </c>
      <c r="O6">
        <f>COUNTIF(C:C,"launch3.VBSscript10")</f>
        <v>7</v>
      </c>
      <c r="P6">
        <f>COUNTIF(C:C,"launch3.VBSscript11")</f>
        <v>3</v>
      </c>
      <c r="Q6">
        <f>COUNTIF(C:C,"launch3.VBSscript12")</f>
        <v>5</v>
      </c>
      <c r="R6">
        <f>COUNTIF(C:C,"launch3.VBSscript13")</f>
        <v>0</v>
      </c>
      <c r="S6">
        <f>COUNTIF(C:C,"launch3.VBSscript14")</f>
        <v>3</v>
      </c>
      <c r="T6">
        <f>COUNTIF(C:C,"launch3.VBSscript15")</f>
        <v>4</v>
      </c>
      <c r="U6">
        <f t="shared" si="0"/>
        <v>60</v>
      </c>
    </row>
    <row r="7" spans="1:21" x14ac:dyDescent="0.25">
      <c r="A7" t="s">
        <v>4</v>
      </c>
      <c r="B7" t="s">
        <v>5</v>
      </c>
      <c r="E7" t="s">
        <v>101</v>
      </c>
      <c r="F7">
        <f>COUNTIF(C:C,"launch4.VBSscript1")</f>
        <v>7</v>
      </c>
      <c r="G7">
        <f>COUNTIF(C:C,"launch4.VBSscript2")</f>
        <v>2</v>
      </c>
      <c r="H7">
        <f>COUNTIF(C:C,"launch4.VBSscript3")</f>
        <v>6</v>
      </c>
      <c r="I7">
        <f>COUNTIF(C:C,"launch4.VBSscript4")</f>
        <v>3</v>
      </c>
      <c r="J7">
        <f>COUNTIF(C:C,"launch4.VBSscript5")</f>
        <v>6</v>
      </c>
      <c r="K7">
        <f>COUNTIF(C:C,"launch4.VBSscript6")</f>
        <v>4</v>
      </c>
      <c r="L7">
        <f>COUNTIF(C:C,"launch4.VBSscript7")</f>
        <v>4</v>
      </c>
      <c r="M7">
        <f>COUNTIF(C:C,"launch4.VBSscript8")</f>
        <v>5</v>
      </c>
      <c r="N7">
        <f>COUNTIF(C:C,"launch4.VBSscript9")</f>
        <v>4</v>
      </c>
      <c r="O7">
        <f>COUNTIF(C:C,"launch4.VBSscript10")</f>
        <v>6</v>
      </c>
      <c r="P7">
        <f>COUNTIF(C:C,"launch4.VBSscript11")</f>
        <v>2</v>
      </c>
      <c r="Q7">
        <f>COUNTIF(C:C,"launch4.VBSscript12")</f>
        <v>2</v>
      </c>
      <c r="R7">
        <f>COUNTIF(C:C,"launch4.VBSscript13")</f>
        <v>0</v>
      </c>
      <c r="S7">
        <f>COUNTIF(C:C,"launch4.VBSscript14")</f>
        <v>5</v>
      </c>
      <c r="T7">
        <f>COUNTIF(C:C,"launch4.VBSscript15")</f>
        <v>4</v>
      </c>
      <c r="U7">
        <f t="shared" si="0"/>
        <v>60</v>
      </c>
    </row>
    <row r="8" spans="1:21" x14ac:dyDescent="0.25">
      <c r="E8" t="s">
        <v>102</v>
      </c>
      <c r="F8">
        <f>COUNTIF(C:C,"launch5.VBSscript1")</f>
        <v>6</v>
      </c>
      <c r="G8">
        <f>COUNTIF(C:C,"launch5.VBSscript2")</f>
        <v>2</v>
      </c>
      <c r="H8">
        <f>COUNTIF(C:C,"launch5.VBSscript3")</f>
        <v>0</v>
      </c>
      <c r="I8">
        <f>COUNTIF(C:C,"launch5.VBSscript4")</f>
        <v>4</v>
      </c>
      <c r="J8">
        <f>COUNTIF(C:C,"launch5.VBSscript5")</f>
        <v>7</v>
      </c>
      <c r="K8">
        <f>COUNTIF(C:C,"launch5.VBSscript6")</f>
        <v>4</v>
      </c>
      <c r="L8">
        <f>COUNTIF(C:C,"launch5.VBSscript7")</f>
        <v>1</v>
      </c>
      <c r="M8">
        <f>COUNTIF(C:C,"launch5.VBSscript8")</f>
        <v>3</v>
      </c>
      <c r="N8">
        <f>COUNTIF(C:C,"launch5.VBSscript9")</f>
        <v>5</v>
      </c>
      <c r="O8">
        <f>COUNTIF(C:C,"launch5.VBSscript10")</f>
        <v>4</v>
      </c>
      <c r="P8">
        <f>COUNTIF(C:C,"launch5.VBSscript11")</f>
        <v>4</v>
      </c>
      <c r="Q8">
        <f>COUNTIF(C:C,"launch5.VBSscript12")</f>
        <v>6</v>
      </c>
      <c r="R8">
        <f>COUNTIF(C:C,"launch5.VBSscript13")</f>
        <v>5</v>
      </c>
      <c r="S8">
        <f>COUNTIF(C:C,"launch5.VBSscript14")</f>
        <v>4</v>
      </c>
      <c r="T8">
        <f>COUNTIF(C:C,"launch5.VBSscript15")</f>
        <v>5</v>
      </c>
      <c r="U8">
        <f t="shared" si="0"/>
        <v>60</v>
      </c>
    </row>
    <row r="9" spans="1:21" x14ac:dyDescent="0.25">
      <c r="A9" t="s">
        <v>7</v>
      </c>
      <c r="B9" t="s">
        <v>6</v>
      </c>
      <c r="C9" t="str">
        <f>A9&amp;B9</f>
        <v>launch4.VBSscript8</v>
      </c>
      <c r="E9" t="s">
        <v>109</v>
      </c>
      <c r="F9">
        <f>SUM(F4:F8)</f>
        <v>20</v>
      </c>
      <c r="G9">
        <f t="shared" ref="G9:T9" si="1">SUM(G4:G8)</f>
        <v>20</v>
      </c>
      <c r="H9">
        <f t="shared" si="1"/>
        <v>20</v>
      </c>
      <c r="I9">
        <f t="shared" si="1"/>
        <v>20</v>
      </c>
      <c r="J9">
        <f t="shared" si="1"/>
        <v>20</v>
      </c>
      <c r="K9">
        <f t="shared" si="1"/>
        <v>20</v>
      </c>
      <c r="L9">
        <f t="shared" si="1"/>
        <v>20</v>
      </c>
      <c r="M9">
        <f t="shared" si="1"/>
        <v>20</v>
      </c>
      <c r="N9">
        <f t="shared" si="1"/>
        <v>20</v>
      </c>
      <c r="O9">
        <f t="shared" si="1"/>
        <v>20</v>
      </c>
      <c r="P9">
        <f t="shared" si="1"/>
        <v>20</v>
      </c>
      <c r="Q9">
        <f t="shared" si="1"/>
        <v>20</v>
      </c>
      <c r="R9">
        <f t="shared" si="1"/>
        <v>20</v>
      </c>
      <c r="S9">
        <f t="shared" si="1"/>
        <v>20</v>
      </c>
      <c r="T9">
        <f t="shared" si="1"/>
        <v>20</v>
      </c>
      <c r="U9">
        <f t="shared" si="0"/>
        <v>300</v>
      </c>
    </row>
    <row r="11" spans="1:21" x14ac:dyDescent="0.25">
      <c r="A11" t="s">
        <v>4</v>
      </c>
      <c r="B11" t="s">
        <v>8</v>
      </c>
    </row>
    <row r="13" spans="1:21" x14ac:dyDescent="0.25">
      <c r="A13" t="s">
        <v>10</v>
      </c>
      <c r="B13" t="s">
        <v>9</v>
      </c>
      <c r="C13" t="str">
        <f>A13&amp;B13</f>
        <v>launch5.VBSscript14</v>
      </c>
    </row>
    <row r="15" spans="1:21" x14ac:dyDescent="0.25">
      <c r="A15" t="s">
        <v>12</v>
      </c>
      <c r="B15" t="s">
        <v>11</v>
      </c>
      <c r="C15" t="str">
        <f>A15&amp;B15</f>
        <v>launch1.VBSscript11</v>
      </c>
    </row>
    <row r="17" spans="1:3" x14ac:dyDescent="0.25">
      <c r="A17" t="s">
        <v>4</v>
      </c>
      <c r="B17" t="s">
        <v>13</v>
      </c>
    </row>
    <row r="19" spans="1:3" x14ac:dyDescent="0.25">
      <c r="A19" t="s">
        <v>2</v>
      </c>
      <c r="B19" t="s">
        <v>14</v>
      </c>
    </row>
    <row r="21" spans="1:3" x14ac:dyDescent="0.25">
      <c r="A21" t="s">
        <v>4</v>
      </c>
      <c r="B21" t="s">
        <v>15</v>
      </c>
    </row>
    <row r="23" spans="1:3" x14ac:dyDescent="0.25">
      <c r="A23" t="s">
        <v>17</v>
      </c>
      <c r="B23" t="s">
        <v>16</v>
      </c>
      <c r="C23" t="str">
        <f>A23&amp;B23</f>
        <v>launch2.VBSscript2</v>
      </c>
    </row>
    <row r="25" spans="1:3" x14ac:dyDescent="0.25">
      <c r="A25" t="s">
        <v>2</v>
      </c>
      <c r="B25" t="s">
        <v>18</v>
      </c>
    </row>
    <row r="27" spans="1:3" x14ac:dyDescent="0.25">
      <c r="A27" t="s">
        <v>20</v>
      </c>
      <c r="B27" t="s">
        <v>19</v>
      </c>
      <c r="C27" t="str">
        <f>A27&amp;B27</f>
        <v>launch3.VBSscript5</v>
      </c>
    </row>
    <row r="29" spans="1:3" x14ac:dyDescent="0.25">
      <c r="A29" t="s">
        <v>2</v>
      </c>
      <c r="B29" t="s">
        <v>21</v>
      </c>
    </row>
    <row r="31" spans="1:3" x14ac:dyDescent="0.25">
      <c r="A31" t="s">
        <v>2</v>
      </c>
      <c r="B31" t="s">
        <v>22</v>
      </c>
    </row>
    <row r="34" spans="1:3" x14ac:dyDescent="0.25">
      <c r="A34" t="s">
        <v>23</v>
      </c>
    </row>
    <row r="36" spans="1:3" x14ac:dyDescent="0.25">
      <c r="A36" t="s">
        <v>2</v>
      </c>
      <c r="B36" t="s">
        <v>9</v>
      </c>
    </row>
    <row r="38" spans="1:3" x14ac:dyDescent="0.25">
      <c r="A38" t="s">
        <v>4</v>
      </c>
      <c r="B38" t="s">
        <v>14</v>
      </c>
    </row>
    <row r="40" spans="1:3" x14ac:dyDescent="0.25">
      <c r="A40" t="s">
        <v>4</v>
      </c>
      <c r="B40" t="s">
        <v>21</v>
      </c>
    </row>
    <row r="42" spans="1:3" x14ac:dyDescent="0.25">
      <c r="A42" t="s">
        <v>7</v>
      </c>
      <c r="B42" t="s">
        <v>13</v>
      </c>
      <c r="C42" t="str">
        <f>A42&amp;B42</f>
        <v>launch4.VBSscript10</v>
      </c>
    </row>
    <row r="44" spans="1:3" x14ac:dyDescent="0.25">
      <c r="A44" t="s">
        <v>2</v>
      </c>
      <c r="B44" t="s">
        <v>19</v>
      </c>
    </row>
    <row r="46" spans="1:3" x14ac:dyDescent="0.25">
      <c r="A46" t="s">
        <v>20</v>
      </c>
      <c r="B46" t="s">
        <v>3</v>
      </c>
      <c r="C46" t="str">
        <f>A46&amp;B46</f>
        <v>launch3.VBSscript7</v>
      </c>
    </row>
    <row r="48" spans="1:3" x14ac:dyDescent="0.25">
      <c r="A48" t="s">
        <v>2</v>
      </c>
      <c r="B48" t="s">
        <v>6</v>
      </c>
    </row>
    <row r="50" spans="1:3" x14ac:dyDescent="0.25">
      <c r="A50" t="s">
        <v>4</v>
      </c>
      <c r="B50" t="s">
        <v>1</v>
      </c>
    </row>
    <row r="52" spans="1:3" x14ac:dyDescent="0.25">
      <c r="A52" t="s">
        <v>17</v>
      </c>
      <c r="B52" t="s">
        <v>5</v>
      </c>
      <c r="C52" t="str">
        <f>A52&amp;B52</f>
        <v>launch2.VBSscript13</v>
      </c>
    </row>
    <row r="54" spans="1:3" x14ac:dyDescent="0.25">
      <c r="A54" t="s">
        <v>12</v>
      </c>
      <c r="B54" t="s">
        <v>8</v>
      </c>
      <c r="C54" t="str">
        <f>A54&amp;B54</f>
        <v>launch1.VBSscript4</v>
      </c>
    </row>
    <row r="56" spans="1:3" x14ac:dyDescent="0.25">
      <c r="A56" t="s">
        <v>10</v>
      </c>
      <c r="B56" t="s">
        <v>15</v>
      </c>
      <c r="C56" t="str">
        <f>A56&amp;B56</f>
        <v>launch5.VBSscript1</v>
      </c>
    </row>
    <row r="58" spans="1:3" x14ac:dyDescent="0.25">
      <c r="A58" t="s">
        <v>2</v>
      </c>
      <c r="B58" t="s">
        <v>16</v>
      </c>
    </row>
    <row r="60" spans="1:3" x14ac:dyDescent="0.25">
      <c r="A60" t="s">
        <v>4</v>
      </c>
      <c r="B60" t="s">
        <v>22</v>
      </c>
    </row>
    <row r="62" spans="1:3" x14ac:dyDescent="0.25">
      <c r="A62" t="s">
        <v>2</v>
      </c>
      <c r="B62" t="s">
        <v>11</v>
      </c>
    </row>
    <row r="64" spans="1:3" x14ac:dyDescent="0.25">
      <c r="A64" t="s">
        <v>4</v>
      </c>
      <c r="B64" t="s">
        <v>18</v>
      </c>
    </row>
    <row r="67" spans="1:3" x14ac:dyDescent="0.25">
      <c r="A67" t="s">
        <v>24</v>
      </c>
    </row>
    <row r="69" spans="1:3" x14ac:dyDescent="0.25">
      <c r="A69" t="s">
        <v>2</v>
      </c>
      <c r="B69" t="s">
        <v>8</v>
      </c>
    </row>
    <row r="71" spans="1:3" x14ac:dyDescent="0.25">
      <c r="A71" t="s">
        <v>2</v>
      </c>
      <c r="B71" t="s">
        <v>15</v>
      </c>
    </row>
    <row r="73" spans="1:3" x14ac:dyDescent="0.25">
      <c r="A73" t="s">
        <v>4</v>
      </c>
      <c r="B73" t="s">
        <v>6</v>
      </c>
    </row>
    <row r="75" spans="1:3" x14ac:dyDescent="0.25">
      <c r="A75" t="s">
        <v>4</v>
      </c>
      <c r="B75" t="s">
        <v>19</v>
      </c>
    </row>
    <row r="77" spans="1:3" x14ac:dyDescent="0.25">
      <c r="A77" t="s">
        <v>4</v>
      </c>
      <c r="B77" t="s">
        <v>11</v>
      </c>
    </row>
    <row r="79" spans="1:3" x14ac:dyDescent="0.25">
      <c r="A79" t="s">
        <v>12</v>
      </c>
      <c r="B79" t="s">
        <v>22</v>
      </c>
      <c r="C79" t="str">
        <f>A79&amp;B79</f>
        <v>launch1.VBSscript3</v>
      </c>
    </row>
    <row r="81" spans="1:3" x14ac:dyDescent="0.25">
      <c r="A81" t="s">
        <v>7</v>
      </c>
      <c r="B81" t="s">
        <v>21</v>
      </c>
      <c r="C81" t="str">
        <f>A81&amp;B81</f>
        <v>launch4.VBSscript12</v>
      </c>
    </row>
    <row r="83" spans="1:3" x14ac:dyDescent="0.25">
      <c r="A83" t="s">
        <v>2</v>
      </c>
      <c r="B83" t="s">
        <v>3</v>
      </c>
    </row>
    <row r="85" spans="1:3" x14ac:dyDescent="0.25">
      <c r="A85" t="s">
        <v>4</v>
      </c>
      <c r="B85" t="s">
        <v>16</v>
      </c>
    </row>
    <row r="87" spans="1:3" x14ac:dyDescent="0.25">
      <c r="A87" t="s">
        <v>2</v>
      </c>
      <c r="B87" t="s">
        <v>13</v>
      </c>
    </row>
    <row r="89" spans="1:3" x14ac:dyDescent="0.25">
      <c r="A89" t="s">
        <v>20</v>
      </c>
      <c r="B89" t="s">
        <v>1</v>
      </c>
      <c r="C89" t="str">
        <f>A89&amp;B89</f>
        <v>launch3.VBSscript9</v>
      </c>
    </row>
    <row r="91" spans="1:3" x14ac:dyDescent="0.25">
      <c r="A91" t="s">
        <v>10</v>
      </c>
      <c r="B91" t="s">
        <v>14</v>
      </c>
      <c r="C91" t="str">
        <f>A91&amp;B91</f>
        <v>launch5.VBSscript6</v>
      </c>
    </row>
    <row r="93" spans="1:3" x14ac:dyDescent="0.25">
      <c r="A93" t="s">
        <v>4</v>
      </c>
      <c r="B93" t="s">
        <v>9</v>
      </c>
    </row>
    <row r="95" spans="1:3" x14ac:dyDescent="0.25">
      <c r="A95" t="s">
        <v>17</v>
      </c>
      <c r="B95" t="s">
        <v>18</v>
      </c>
      <c r="C95" t="str">
        <f>A95&amp;B95</f>
        <v>launch2.VBSscript15</v>
      </c>
    </row>
    <row r="97" spans="1:3" x14ac:dyDescent="0.25">
      <c r="A97" t="s">
        <v>2</v>
      </c>
      <c r="B97" t="s">
        <v>5</v>
      </c>
    </row>
    <row r="100" spans="1:3" x14ac:dyDescent="0.25">
      <c r="A100" t="s">
        <v>25</v>
      </c>
    </row>
    <row r="102" spans="1:3" x14ac:dyDescent="0.25">
      <c r="A102" t="s">
        <v>10</v>
      </c>
      <c r="B102" t="s">
        <v>19</v>
      </c>
      <c r="C102" t="str">
        <f>A102&amp;B102</f>
        <v>launch5.VBSscript5</v>
      </c>
    </row>
    <row r="104" spans="1:3" x14ac:dyDescent="0.25">
      <c r="A104" t="s">
        <v>20</v>
      </c>
      <c r="B104" t="s">
        <v>6</v>
      </c>
      <c r="C104" t="str">
        <f>A104&amp;B104</f>
        <v>launch3.VBSscript8</v>
      </c>
    </row>
    <row r="106" spans="1:3" x14ac:dyDescent="0.25">
      <c r="A106" t="s">
        <v>17</v>
      </c>
      <c r="B106" t="s">
        <v>11</v>
      </c>
      <c r="C106" t="str">
        <f>A106&amp;B106</f>
        <v>launch2.VBSscript11</v>
      </c>
    </row>
    <row r="108" spans="1:3" x14ac:dyDescent="0.25">
      <c r="A108" t="s">
        <v>4</v>
      </c>
      <c r="B108" t="s">
        <v>14</v>
      </c>
    </row>
    <row r="110" spans="1:3" x14ac:dyDescent="0.25">
      <c r="A110" t="s">
        <v>2</v>
      </c>
      <c r="B110" t="s">
        <v>5</v>
      </c>
    </row>
    <row r="112" spans="1:3" x14ac:dyDescent="0.25">
      <c r="A112" t="s">
        <v>4</v>
      </c>
      <c r="B112" t="s">
        <v>21</v>
      </c>
    </row>
    <row r="114" spans="1:3" x14ac:dyDescent="0.25">
      <c r="A114" t="s">
        <v>12</v>
      </c>
      <c r="B114" t="s">
        <v>16</v>
      </c>
      <c r="C114" t="str">
        <f>A114&amp;B114</f>
        <v>launch1.VBSscript2</v>
      </c>
    </row>
    <row r="116" spans="1:3" x14ac:dyDescent="0.25">
      <c r="A116" t="s">
        <v>4</v>
      </c>
      <c r="B116" t="s">
        <v>22</v>
      </c>
    </row>
    <row r="118" spans="1:3" x14ac:dyDescent="0.25">
      <c r="A118" t="s">
        <v>7</v>
      </c>
      <c r="B118" t="s">
        <v>9</v>
      </c>
      <c r="C118" t="str">
        <f>A118&amp;B118</f>
        <v>launch4.VBSscript14</v>
      </c>
    </row>
    <row r="120" spans="1:3" x14ac:dyDescent="0.25">
      <c r="A120" t="s">
        <v>2</v>
      </c>
      <c r="B120" t="s">
        <v>15</v>
      </c>
    </row>
    <row r="122" spans="1:3" x14ac:dyDescent="0.25">
      <c r="A122" t="s">
        <v>2</v>
      </c>
      <c r="B122" t="s">
        <v>8</v>
      </c>
    </row>
    <row r="124" spans="1:3" x14ac:dyDescent="0.25">
      <c r="A124" t="s">
        <v>2</v>
      </c>
      <c r="B124" t="s">
        <v>3</v>
      </c>
    </row>
    <row r="126" spans="1:3" x14ac:dyDescent="0.25">
      <c r="A126" t="s">
        <v>2</v>
      </c>
      <c r="B126" t="s">
        <v>13</v>
      </c>
    </row>
    <row r="128" spans="1:3" x14ac:dyDescent="0.25">
      <c r="A128" t="s">
        <v>4</v>
      </c>
      <c r="B128" t="s">
        <v>18</v>
      </c>
    </row>
    <row r="130" spans="1:3" x14ac:dyDescent="0.25">
      <c r="A130" t="s">
        <v>4</v>
      </c>
      <c r="B130" t="s">
        <v>1</v>
      </c>
    </row>
    <row r="133" spans="1:3" x14ac:dyDescent="0.25">
      <c r="A133" t="s">
        <v>26</v>
      </c>
    </row>
    <row r="135" spans="1:3" x14ac:dyDescent="0.25">
      <c r="A135" t="s">
        <v>4</v>
      </c>
      <c r="B135" t="s">
        <v>15</v>
      </c>
    </row>
    <row r="137" spans="1:3" x14ac:dyDescent="0.25">
      <c r="A137" t="s">
        <v>2</v>
      </c>
      <c r="B137" t="s">
        <v>18</v>
      </c>
    </row>
    <row r="139" spans="1:3" x14ac:dyDescent="0.25">
      <c r="A139" t="s">
        <v>2</v>
      </c>
      <c r="B139" t="s">
        <v>14</v>
      </c>
    </row>
    <row r="141" spans="1:3" x14ac:dyDescent="0.25">
      <c r="A141" t="s">
        <v>17</v>
      </c>
      <c r="B141" t="s">
        <v>11</v>
      </c>
      <c r="C141" t="str">
        <f>A141&amp;B141</f>
        <v>launch2.VBSscript11</v>
      </c>
    </row>
    <row r="143" spans="1:3" x14ac:dyDescent="0.25">
      <c r="A143" t="s">
        <v>4</v>
      </c>
      <c r="B143" t="s">
        <v>5</v>
      </c>
    </row>
    <row r="145" spans="1:3" x14ac:dyDescent="0.25">
      <c r="A145" t="s">
        <v>2</v>
      </c>
      <c r="B145" t="s">
        <v>1</v>
      </c>
    </row>
    <row r="147" spans="1:3" x14ac:dyDescent="0.25">
      <c r="A147" t="s">
        <v>4</v>
      </c>
      <c r="B147" t="s">
        <v>13</v>
      </c>
    </row>
    <row r="149" spans="1:3" x14ac:dyDescent="0.25">
      <c r="A149" t="s">
        <v>2</v>
      </c>
      <c r="B149" t="s">
        <v>21</v>
      </c>
    </row>
    <row r="151" spans="1:3" x14ac:dyDescent="0.25">
      <c r="A151" t="s">
        <v>2</v>
      </c>
      <c r="B151" t="s">
        <v>22</v>
      </c>
    </row>
    <row r="153" spans="1:3" x14ac:dyDescent="0.25">
      <c r="A153" t="s">
        <v>20</v>
      </c>
      <c r="B153" t="s">
        <v>16</v>
      </c>
      <c r="C153" t="str">
        <f>A153&amp;B153</f>
        <v>launch3.VBSscript2</v>
      </c>
    </row>
    <row r="155" spans="1:3" x14ac:dyDescent="0.25">
      <c r="A155" t="s">
        <v>7</v>
      </c>
      <c r="B155" t="s">
        <v>9</v>
      </c>
      <c r="C155" t="str">
        <f>A155&amp;B155</f>
        <v>launch4.VBSscript14</v>
      </c>
    </row>
    <row r="157" spans="1:3" x14ac:dyDescent="0.25">
      <c r="A157" t="s">
        <v>4</v>
      </c>
      <c r="B157" t="s">
        <v>3</v>
      </c>
    </row>
    <row r="159" spans="1:3" x14ac:dyDescent="0.25">
      <c r="A159" t="s">
        <v>10</v>
      </c>
      <c r="B159" t="s">
        <v>19</v>
      </c>
      <c r="C159" t="str">
        <f>A159&amp;B159</f>
        <v>launch5.VBSscript5</v>
      </c>
    </row>
    <row r="161" spans="1:3" x14ac:dyDescent="0.25">
      <c r="A161" t="s">
        <v>4</v>
      </c>
      <c r="B161" t="s">
        <v>8</v>
      </c>
    </row>
    <row r="163" spans="1:3" x14ac:dyDescent="0.25">
      <c r="A163" t="s">
        <v>12</v>
      </c>
      <c r="B163" t="s">
        <v>6</v>
      </c>
      <c r="C163" t="str">
        <f>A163&amp;B163</f>
        <v>launch1.VBSscript8</v>
      </c>
    </row>
    <row r="166" spans="1:3" x14ac:dyDescent="0.25">
      <c r="A166" t="s">
        <v>27</v>
      </c>
    </row>
    <row r="168" spans="1:3" x14ac:dyDescent="0.25">
      <c r="A168" t="s">
        <v>17</v>
      </c>
      <c r="B168" t="s">
        <v>22</v>
      </c>
      <c r="C168" t="str">
        <f>A168&amp;B168</f>
        <v>launch2.VBSscript3</v>
      </c>
    </row>
    <row r="170" spans="1:3" x14ac:dyDescent="0.25">
      <c r="A170" t="s">
        <v>4</v>
      </c>
      <c r="B170" t="s">
        <v>13</v>
      </c>
    </row>
    <row r="172" spans="1:3" x14ac:dyDescent="0.25">
      <c r="A172" t="s">
        <v>12</v>
      </c>
      <c r="B172" t="s">
        <v>14</v>
      </c>
      <c r="C172" t="str">
        <f>A172&amp;B172</f>
        <v>launch1.VBSscript6</v>
      </c>
    </row>
    <row r="174" spans="1:3" x14ac:dyDescent="0.25">
      <c r="A174" t="s">
        <v>4</v>
      </c>
      <c r="B174" t="s">
        <v>8</v>
      </c>
    </row>
    <row r="176" spans="1:3" x14ac:dyDescent="0.25">
      <c r="A176" t="s">
        <v>7</v>
      </c>
      <c r="B176" t="s">
        <v>1</v>
      </c>
      <c r="C176" t="str">
        <f>A176&amp;B176</f>
        <v>launch4.VBSscript9</v>
      </c>
    </row>
    <row r="178" spans="1:3" x14ac:dyDescent="0.25">
      <c r="A178" t="s">
        <v>4</v>
      </c>
      <c r="B178" t="s">
        <v>15</v>
      </c>
    </row>
    <row r="180" spans="1:3" x14ac:dyDescent="0.25">
      <c r="A180" t="s">
        <v>4</v>
      </c>
      <c r="B180" t="s">
        <v>5</v>
      </c>
    </row>
    <row r="182" spans="1:3" x14ac:dyDescent="0.25">
      <c r="A182" t="s">
        <v>10</v>
      </c>
      <c r="B182" t="s">
        <v>21</v>
      </c>
      <c r="C182" t="str">
        <f>A182&amp;B182</f>
        <v>launch5.VBSscript12</v>
      </c>
    </row>
    <row r="184" spans="1:3" x14ac:dyDescent="0.25">
      <c r="A184" t="s">
        <v>2</v>
      </c>
      <c r="B184" t="s">
        <v>19</v>
      </c>
    </row>
    <row r="186" spans="1:3" x14ac:dyDescent="0.25">
      <c r="A186" t="s">
        <v>2</v>
      </c>
      <c r="B186" t="s">
        <v>16</v>
      </c>
    </row>
    <row r="188" spans="1:3" x14ac:dyDescent="0.25">
      <c r="A188" t="s">
        <v>4</v>
      </c>
      <c r="B188" t="s">
        <v>3</v>
      </c>
    </row>
    <row r="190" spans="1:3" x14ac:dyDescent="0.25">
      <c r="A190" t="s">
        <v>20</v>
      </c>
      <c r="B190" t="s">
        <v>18</v>
      </c>
      <c r="C190" t="str">
        <f>A190&amp;B190</f>
        <v>launch3.VBSscript15</v>
      </c>
    </row>
    <row r="192" spans="1:3" x14ac:dyDescent="0.25">
      <c r="A192" t="s">
        <v>2</v>
      </c>
      <c r="B192" t="s">
        <v>6</v>
      </c>
    </row>
    <row r="194" spans="1:3" x14ac:dyDescent="0.25">
      <c r="A194" t="s">
        <v>2</v>
      </c>
      <c r="B194" t="s">
        <v>11</v>
      </c>
    </row>
    <row r="196" spans="1:3" x14ac:dyDescent="0.25">
      <c r="A196" t="s">
        <v>2</v>
      </c>
      <c r="B196" t="s">
        <v>9</v>
      </c>
    </row>
    <row r="199" spans="1:3" x14ac:dyDescent="0.25">
      <c r="A199" t="s">
        <v>28</v>
      </c>
    </row>
    <row r="201" spans="1:3" x14ac:dyDescent="0.25">
      <c r="A201" t="s">
        <v>17</v>
      </c>
      <c r="B201" t="s">
        <v>8</v>
      </c>
      <c r="C201" t="str">
        <f>A201&amp;B201</f>
        <v>launch2.VBSscript4</v>
      </c>
    </row>
    <row r="203" spans="1:3" x14ac:dyDescent="0.25">
      <c r="A203" t="s">
        <v>7</v>
      </c>
      <c r="B203" t="s">
        <v>13</v>
      </c>
      <c r="C203" t="str">
        <f>A203&amp;B203</f>
        <v>launch4.VBSscript10</v>
      </c>
    </row>
    <row r="205" spans="1:3" x14ac:dyDescent="0.25">
      <c r="A205" t="s">
        <v>20</v>
      </c>
      <c r="B205" t="s">
        <v>3</v>
      </c>
      <c r="C205" t="str">
        <f>A205&amp;B205</f>
        <v>launch3.VBSscript7</v>
      </c>
    </row>
    <row r="207" spans="1:3" x14ac:dyDescent="0.25">
      <c r="A207" t="s">
        <v>4</v>
      </c>
      <c r="B207" t="s">
        <v>19</v>
      </c>
    </row>
    <row r="209" spans="1:3" x14ac:dyDescent="0.25">
      <c r="A209" t="s">
        <v>2</v>
      </c>
      <c r="B209" t="s">
        <v>21</v>
      </c>
    </row>
    <row r="211" spans="1:3" x14ac:dyDescent="0.25">
      <c r="A211" t="s">
        <v>2</v>
      </c>
      <c r="B211" t="s">
        <v>22</v>
      </c>
    </row>
    <row r="213" spans="1:3" x14ac:dyDescent="0.25">
      <c r="A213" t="s">
        <v>4</v>
      </c>
      <c r="B213" t="s">
        <v>16</v>
      </c>
    </row>
    <row r="215" spans="1:3" x14ac:dyDescent="0.25">
      <c r="A215" t="s">
        <v>10</v>
      </c>
      <c r="B215" t="s">
        <v>15</v>
      </c>
      <c r="C215" t="str">
        <f>A215&amp;B215</f>
        <v>launch5.VBSscript1</v>
      </c>
    </row>
    <row r="217" spans="1:3" x14ac:dyDescent="0.25">
      <c r="A217" t="s">
        <v>4</v>
      </c>
      <c r="B217" t="s">
        <v>6</v>
      </c>
    </row>
    <row r="219" spans="1:3" x14ac:dyDescent="0.25">
      <c r="A219" t="s">
        <v>12</v>
      </c>
      <c r="B219" t="s">
        <v>5</v>
      </c>
      <c r="C219" t="str">
        <f>A219&amp;B219</f>
        <v>launch1.VBSscript13</v>
      </c>
    </row>
    <row r="221" spans="1:3" x14ac:dyDescent="0.25">
      <c r="A221" t="s">
        <v>4</v>
      </c>
      <c r="B221" t="s">
        <v>9</v>
      </c>
    </row>
    <row r="223" spans="1:3" x14ac:dyDescent="0.25">
      <c r="A223" t="s">
        <v>2</v>
      </c>
      <c r="B223" t="s">
        <v>18</v>
      </c>
    </row>
    <row r="225" spans="1:3" x14ac:dyDescent="0.25">
      <c r="A225" t="s">
        <v>2</v>
      </c>
      <c r="B225" t="s">
        <v>14</v>
      </c>
    </row>
    <row r="227" spans="1:3" x14ac:dyDescent="0.25">
      <c r="A227" t="s">
        <v>2</v>
      </c>
      <c r="B227" t="s">
        <v>1</v>
      </c>
    </row>
    <row r="229" spans="1:3" x14ac:dyDescent="0.25">
      <c r="A229" t="s">
        <v>4</v>
      </c>
      <c r="B229" t="s">
        <v>11</v>
      </c>
    </row>
    <row r="232" spans="1:3" x14ac:dyDescent="0.25">
      <c r="A232" t="s">
        <v>29</v>
      </c>
    </row>
    <row r="234" spans="1:3" x14ac:dyDescent="0.25">
      <c r="A234" t="s">
        <v>2</v>
      </c>
      <c r="B234" t="s">
        <v>11</v>
      </c>
    </row>
    <row r="236" spans="1:3" x14ac:dyDescent="0.25">
      <c r="A236" t="s">
        <v>7</v>
      </c>
      <c r="B236" t="s">
        <v>15</v>
      </c>
      <c r="C236" t="str">
        <f>A236&amp;B236</f>
        <v>launch4.VBSscript1</v>
      </c>
    </row>
    <row r="238" spans="1:3" x14ac:dyDescent="0.25">
      <c r="A238" t="s">
        <v>17</v>
      </c>
      <c r="B238" t="s">
        <v>3</v>
      </c>
      <c r="C238" t="str">
        <f>A238&amp;B238</f>
        <v>launch2.VBSscript7</v>
      </c>
    </row>
    <row r="240" spans="1:3" x14ac:dyDescent="0.25">
      <c r="A240" t="s">
        <v>4</v>
      </c>
      <c r="B240" t="s">
        <v>14</v>
      </c>
    </row>
    <row r="242" spans="1:3" x14ac:dyDescent="0.25">
      <c r="A242" t="s">
        <v>2</v>
      </c>
      <c r="B242" t="s">
        <v>6</v>
      </c>
    </row>
    <row r="244" spans="1:3" x14ac:dyDescent="0.25">
      <c r="A244" t="s">
        <v>12</v>
      </c>
      <c r="B244" t="s">
        <v>8</v>
      </c>
      <c r="C244" t="str">
        <f>A244&amp;B244</f>
        <v>launch1.VBSscript4</v>
      </c>
    </row>
    <row r="246" spans="1:3" x14ac:dyDescent="0.25">
      <c r="A246" t="s">
        <v>4</v>
      </c>
      <c r="B246" t="s">
        <v>18</v>
      </c>
    </row>
    <row r="248" spans="1:3" x14ac:dyDescent="0.25">
      <c r="A248" t="s">
        <v>4</v>
      </c>
      <c r="B248" t="s">
        <v>22</v>
      </c>
    </row>
    <row r="250" spans="1:3" x14ac:dyDescent="0.25">
      <c r="A250" t="s">
        <v>20</v>
      </c>
      <c r="B250" t="s">
        <v>13</v>
      </c>
      <c r="C250" t="str">
        <f>A250&amp;B250</f>
        <v>launch3.VBSscript10</v>
      </c>
    </row>
    <row r="252" spans="1:3" x14ac:dyDescent="0.25">
      <c r="A252" t="s">
        <v>4</v>
      </c>
      <c r="B252" t="s">
        <v>21</v>
      </c>
    </row>
    <row r="254" spans="1:3" x14ac:dyDescent="0.25">
      <c r="A254" t="s">
        <v>2</v>
      </c>
      <c r="B254" t="s">
        <v>19</v>
      </c>
    </row>
    <row r="256" spans="1:3" x14ac:dyDescent="0.25">
      <c r="A256" t="s">
        <v>2</v>
      </c>
      <c r="B256" t="s">
        <v>16</v>
      </c>
    </row>
    <row r="258" spans="1:3" x14ac:dyDescent="0.25">
      <c r="A258" t="s">
        <v>2</v>
      </c>
      <c r="B258" t="s">
        <v>9</v>
      </c>
    </row>
    <row r="260" spans="1:3" x14ac:dyDescent="0.25">
      <c r="A260" t="s">
        <v>4</v>
      </c>
      <c r="B260" t="s">
        <v>1</v>
      </c>
    </row>
    <row r="262" spans="1:3" x14ac:dyDescent="0.25">
      <c r="A262" t="s">
        <v>10</v>
      </c>
      <c r="B262" t="s">
        <v>5</v>
      </c>
      <c r="C262" t="str">
        <f>A262&amp;B262</f>
        <v>launch5.VBSscript13</v>
      </c>
    </row>
    <row r="265" spans="1:3" x14ac:dyDescent="0.25">
      <c r="A265" t="s">
        <v>30</v>
      </c>
    </row>
    <row r="267" spans="1:3" x14ac:dyDescent="0.25">
      <c r="A267" t="s">
        <v>20</v>
      </c>
      <c r="B267" t="s">
        <v>18</v>
      </c>
      <c r="C267" t="str">
        <f>A267&amp;B267</f>
        <v>launch3.VBSscript15</v>
      </c>
    </row>
    <row r="269" spans="1:3" x14ac:dyDescent="0.25">
      <c r="A269" t="s">
        <v>2</v>
      </c>
      <c r="B269" t="s">
        <v>5</v>
      </c>
    </row>
    <row r="271" spans="1:3" x14ac:dyDescent="0.25">
      <c r="A271" t="s">
        <v>7</v>
      </c>
      <c r="B271" t="s">
        <v>22</v>
      </c>
      <c r="C271" t="str">
        <f>A271&amp;B271</f>
        <v>launch4.VBSscript3</v>
      </c>
    </row>
    <row r="273" spans="1:3" x14ac:dyDescent="0.25">
      <c r="A273" t="s">
        <v>2</v>
      </c>
      <c r="B273" t="s">
        <v>8</v>
      </c>
    </row>
    <row r="275" spans="1:3" x14ac:dyDescent="0.25">
      <c r="A275" t="s">
        <v>2</v>
      </c>
      <c r="B275" t="s">
        <v>15</v>
      </c>
    </row>
    <row r="277" spans="1:3" x14ac:dyDescent="0.25">
      <c r="A277" t="s">
        <v>12</v>
      </c>
      <c r="B277" t="s">
        <v>21</v>
      </c>
      <c r="C277" t="str">
        <f>A277&amp;B277</f>
        <v>launch1.VBSscript12</v>
      </c>
    </row>
    <row r="279" spans="1:3" x14ac:dyDescent="0.25">
      <c r="A279" t="s">
        <v>4</v>
      </c>
      <c r="B279" t="s">
        <v>16</v>
      </c>
    </row>
    <row r="281" spans="1:3" x14ac:dyDescent="0.25">
      <c r="A281" t="s">
        <v>4</v>
      </c>
      <c r="B281" t="s">
        <v>9</v>
      </c>
    </row>
    <row r="283" spans="1:3" x14ac:dyDescent="0.25">
      <c r="A283" t="s">
        <v>17</v>
      </c>
      <c r="B283" t="s">
        <v>1</v>
      </c>
      <c r="C283" t="str">
        <f>A283&amp;B283</f>
        <v>launch2.VBSscript9</v>
      </c>
    </row>
    <row r="285" spans="1:3" x14ac:dyDescent="0.25">
      <c r="A285" t="s">
        <v>10</v>
      </c>
      <c r="B285" t="s">
        <v>14</v>
      </c>
      <c r="C285" t="str">
        <f>A285&amp;B285</f>
        <v>launch5.VBSscript6</v>
      </c>
    </row>
    <row r="287" spans="1:3" x14ac:dyDescent="0.25">
      <c r="A287" t="s">
        <v>4</v>
      </c>
      <c r="B287" t="s">
        <v>11</v>
      </c>
    </row>
    <row r="289" spans="1:3" x14ac:dyDescent="0.25">
      <c r="A289" t="s">
        <v>2</v>
      </c>
      <c r="B289" t="s">
        <v>13</v>
      </c>
    </row>
    <row r="291" spans="1:3" x14ac:dyDescent="0.25">
      <c r="A291" t="s">
        <v>2</v>
      </c>
      <c r="B291" t="s">
        <v>3</v>
      </c>
    </row>
    <row r="293" spans="1:3" x14ac:dyDescent="0.25">
      <c r="A293" t="s">
        <v>4</v>
      </c>
      <c r="B293" t="s">
        <v>6</v>
      </c>
    </row>
    <row r="295" spans="1:3" x14ac:dyDescent="0.25">
      <c r="A295" t="s">
        <v>4</v>
      </c>
      <c r="B295" t="s">
        <v>19</v>
      </c>
    </row>
    <row r="298" spans="1:3" x14ac:dyDescent="0.25">
      <c r="A298" t="s">
        <v>31</v>
      </c>
    </row>
    <row r="300" spans="1:3" x14ac:dyDescent="0.25">
      <c r="A300" t="s">
        <v>2</v>
      </c>
      <c r="B300" t="s">
        <v>13</v>
      </c>
    </row>
    <row r="302" spans="1:3" x14ac:dyDescent="0.25">
      <c r="A302" t="s">
        <v>2</v>
      </c>
      <c r="B302" t="s">
        <v>8</v>
      </c>
    </row>
    <row r="304" spans="1:3" x14ac:dyDescent="0.25">
      <c r="A304" t="s">
        <v>10</v>
      </c>
      <c r="B304" t="s">
        <v>6</v>
      </c>
      <c r="C304" t="str">
        <f>A304&amp;B304</f>
        <v>launch5.VBSscript8</v>
      </c>
    </row>
    <row r="306" spans="1:3" x14ac:dyDescent="0.25">
      <c r="A306" t="s">
        <v>4</v>
      </c>
      <c r="B306" t="s">
        <v>18</v>
      </c>
    </row>
    <row r="308" spans="1:3" x14ac:dyDescent="0.25">
      <c r="A308" t="s">
        <v>4</v>
      </c>
      <c r="B308" t="s">
        <v>21</v>
      </c>
    </row>
    <row r="310" spans="1:3" x14ac:dyDescent="0.25">
      <c r="A310" t="s">
        <v>2</v>
      </c>
      <c r="B310" t="s">
        <v>5</v>
      </c>
    </row>
    <row r="312" spans="1:3" x14ac:dyDescent="0.25">
      <c r="A312" t="s">
        <v>4</v>
      </c>
      <c r="B312" t="s">
        <v>22</v>
      </c>
    </row>
    <row r="314" spans="1:3" x14ac:dyDescent="0.25">
      <c r="A314" t="s">
        <v>20</v>
      </c>
      <c r="B314" t="s">
        <v>11</v>
      </c>
      <c r="C314" t="str">
        <f>A314&amp;B314</f>
        <v>launch3.VBSscript11</v>
      </c>
    </row>
    <row r="316" spans="1:3" x14ac:dyDescent="0.25">
      <c r="A316" t="s">
        <v>7</v>
      </c>
      <c r="B316" t="s">
        <v>19</v>
      </c>
      <c r="C316" t="str">
        <f>A316&amp;B316</f>
        <v>launch4.VBSscript5</v>
      </c>
    </row>
    <row r="318" spans="1:3" x14ac:dyDescent="0.25">
      <c r="A318" t="s">
        <v>12</v>
      </c>
      <c r="B318" t="s">
        <v>16</v>
      </c>
      <c r="C318" t="str">
        <f>A318&amp;B318</f>
        <v>launch1.VBSscript2</v>
      </c>
    </row>
    <row r="320" spans="1:3" x14ac:dyDescent="0.25">
      <c r="A320" t="s">
        <v>2</v>
      </c>
      <c r="B320" t="s">
        <v>3</v>
      </c>
    </row>
    <row r="322" spans="1:3" x14ac:dyDescent="0.25">
      <c r="A322" t="s">
        <v>2</v>
      </c>
      <c r="B322" t="s">
        <v>15</v>
      </c>
    </row>
    <row r="324" spans="1:3" x14ac:dyDescent="0.25">
      <c r="A324" t="s">
        <v>17</v>
      </c>
      <c r="B324" t="s">
        <v>9</v>
      </c>
      <c r="C324" t="str">
        <f>A324&amp;B324</f>
        <v>launch2.VBSscript14</v>
      </c>
    </row>
    <row r="326" spans="1:3" x14ac:dyDescent="0.25">
      <c r="A326" t="s">
        <v>4</v>
      </c>
      <c r="B326" t="s">
        <v>14</v>
      </c>
    </row>
    <row r="328" spans="1:3" x14ac:dyDescent="0.25">
      <c r="A328" t="s">
        <v>4</v>
      </c>
      <c r="B328" t="s">
        <v>1</v>
      </c>
    </row>
    <row r="331" spans="1:3" x14ac:dyDescent="0.25">
      <c r="A331" t="s">
        <v>32</v>
      </c>
    </row>
    <row r="333" spans="1:3" x14ac:dyDescent="0.25">
      <c r="A333" t="s">
        <v>20</v>
      </c>
      <c r="B333" t="s">
        <v>11</v>
      </c>
      <c r="C333" t="str">
        <f>A333&amp;B333</f>
        <v>launch3.VBSscript11</v>
      </c>
    </row>
    <row r="335" spans="1:3" x14ac:dyDescent="0.25">
      <c r="A335" t="s">
        <v>2</v>
      </c>
      <c r="B335" t="s">
        <v>1</v>
      </c>
    </row>
    <row r="337" spans="1:3" x14ac:dyDescent="0.25">
      <c r="A337" t="s">
        <v>4</v>
      </c>
      <c r="B337" t="s">
        <v>15</v>
      </c>
    </row>
    <row r="339" spans="1:3" x14ac:dyDescent="0.25">
      <c r="A339" t="s">
        <v>4</v>
      </c>
      <c r="B339" t="s">
        <v>13</v>
      </c>
    </row>
    <row r="341" spans="1:3" x14ac:dyDescent="0.25">
      <c r="A341" t="s">
        <v>2</v>
      </c>
      <c r="B341" t="s">
        <v>18</v>
      </c>
    </row>
    <row r="343" spans="1:3" x14ac:dyDescent="0.25">
      <c r="A343" t="s">
        <v>2</v>
      </c>
      <c r="B343" t="s">
        <v>21</v>
      </c>
    </row>
    <row r="345" spans="1:3" x14ac:dyDescent="0.25">
      <c r="A345" t="s">
        <v>4</v>
      </c>
      <c r="B345" t="s">
        <v>8</v>
      </c>
    </row>
    <row r="347" spans="1:3" x14ac:dyDescent="0.25">
      <c r="A347" t="s">
        <v>12</v>
      </c>
      <c r="B347" t="s">
        <v>19</v>
      </c>
      <c r="C347" t="str">
        <f>A347&amp;B347</f>
        <v>launch1.VBSscript5</v>
      </c>
    </row>
    <row r="349" spans="1:3" x14ac:dyDescent="0.25">
      <c r="A349" t="s">
        <v>4</v>
      </c>
      <c r="B349" t="s">
        <v>3</v>
      </c>
    </row>
    <row r="351" spans="1:3" x14ac:dyDescent="0.25">
      <c r="A351" t="s">
        <v>2</v>
      </c>
      <c r="B351" t="s">
        <v>14</v>
      </c>
    </row>
    <row r="353" spans="1:3" x14ac:dyDescent="0.25">
      <c r="A353" t="s">
        <v>10</v>
      </c>
      <c r="B353" t="s">
        <v>16</v>
      </c>
      <c r="C353" t="str">
        <f>A353&amp;B353</f>
        <v>launch5.VBSscript2</v>
      </c>
    </row>
    <row r="355" spans="1:3" x14ac:dyDescent="0.25">
      <c r="A355" t="s">
        <v>7</v>
      </c>
      <c r="B355" t="s">
        <v>9</v>
      </c>
      <c r="C355" t="str">
        <f>A355&amp;B355</f>
        <v>launch4.VBSscript14</v>
      </c>
    </row>
    <row r="357" spans="1:3" x14ac:dyDescent="0.25">
      <c r="A357" t="s">
        <v>2</v>
      </c>
      <c r="B357" t="s">
        <v>22</v>
      </c>
    </row>
    <row r="359" spans="1:3" x14ac:dyDescent="0.25">
      <c r="A359" t="s">
        <v>17</v>
      </c>
      <c r="B359" t="s">
        <v>6</v>
      </c>
      <c r="C359" t="str">
        <f>A359&amp;B359</f>
        <v>launch2.VBSscript8</v>
      </c>
    </row>
    <row r="361" spans="1:3" x14ac:dyDescent="0.25">
      <c r="A361" t="s">
        <v>4</v>
      </c>
      <c r="B361" t="s">
        <v>5</v>
      </c>
    </row>
    <row r="364" spans="1:3" x14ac:dyDescent="0.25">
      <c r="A364" t="s">
        <v>33</v>
      </c>
    </row>
    <row r="366" spans="1:3" x14ac:dyDescent="0.25">
      <c r="A366" t="s">
        <v>12</v>
      </c>
      <c r="B366" t="s">
        <v>14</v>
      </c>
      <c r="C366" t="str">
        <f>A366&amp;B366</f>
        <v>launch1.VBSscript6</v>
      </c>
    </row>
    <row r="368" spans="1:3" x14ac:dyDescent="0.25">
      <c r="A368" t="s">
        <v>7</v>
      </c>
      <c r="B368" t="s">
        <v>18</v>
      </c>
      <c r="C368" t="str">
        <f>A368&amp;B368</f>
        <v>launch4.VBSscript15</v>
      </c>
    </row>
    <row r="370" spans="1:3" x14ac:dyDescent="0.25">
      <c r="A370" t="s">
        <v>4</v>
      </c>
      <c r="B370" t="s">
        <v>5</v>
      </c>
    </row>
    <row r="372" spans="1:3" x14ac:dyDescent="0.25">
      <c r="A372" t="s">
        <v>4</v>
      </c>
      <c r="B372" t="s">
        <v>8</v>
      </c>
    </row>
    <row r="374" spans="1:3" x14ac:dyDescent="0.25">
      <c r="A374" t="s">
        <v>2</v>
      </c>
      <c r="B374" t="s">
        <v>11</v>
      </c>
    </row>
    <row r="376" spans="1:3" x14ac:dyDescent="0.25">
      <c r="A376" t="s">
        <v>2</v>
      </c>
      <c r="B376" t="s">
        <v>6</v>
      </c>
    </row>
    <row r="378" spans="1:3" x14ac:dyDescent="0.25">
      <c r="A378" t="s">
        <v>4</v>
      </c>
      <c r="B378" t="s">
        <v>13</v>
      </c>
    </row>
    <row r="380" spans="1:3" x14ac:dyDescent="0.25">
      <c r="A380" t="s">
        <v>2</v>
      </c>
      <c r="B380" t="s">
        <v>16</v>
      </c>
    </row>
    <row r="382" spans="1:3" x14ac:dyDescent="0.25">
      <c r="A382" t="s">
        <v>20</v>
      </c>
      <c r="B382" t="s">
        <v>22</v>
      </c>
      <c r="C382" t="str">
        <f>A382&amp;B382</f>
        <v>launch3.VBSscript3</v>
      </c>
    </row>
    <row r="384" spans="1:3" x14ac:dyDescent="0.25">
      <c r="A384" t="s">
        <v>2</v>
      </c>
      <c r="B384" t="s">
        <v>19</v>
      </c>
    </row>
    <row r="386" spans="1:3" x14ac:dyDescent="0.25">
      <c r="A386" t="s">
        <v>4</v>
      </c>
      <c r="B386" t="s">
        <v>3</v>
      </c>
    </row>
    <row r="388" spans="1:3" x14ac:dyDescent="0.25">
      <c r="A388" t="s">
        <v>2</v>
      </c>
      <c r="B388" t="s">
        <v>9</v>
      </c>
    </row>
    <row r="390" spans="1:3" x14ac:dyDescent="0.25">
      <c r="A390" t="s">
        <v>17</v>
      </c>
      <c r="B390" t="s">
        <v>1</v>
      </c>
      <c r="C390" t="str">
        <f>A390&amp;B390</f>
        <v>launch2.VBSscript9</v>
      </c>
    </row>
    <row r="392" spans="1:3" x14ac:dyDescent="0.25">
      <c r="A392" t="s">
        <v>4</v>
      </c>
      <c r="B392" t="s">
        <v>15</v>
      </c>
    </row>
    <row r="394" spans="1:3" x14ac:dyDescent="0.25">
      <c r="A394" t="s">
        <v>10</v>
      </c>
      <c r="B394" t="s">
        <v>21</v>
      </c>
      <c r="C394" t="str">
        <f>A394&amp;B394</f>
        <v>launch5.VBSscript12</v>
      </c>
    </row>
    <row r="397" spans="1:3" x14ac:dyDescent="0.25">
      <c r="A397" t="s">
        <v>34</v>
      </c>
    </row>
    <row r="399" spans="1:3" x14ac:dyDescent="0.25">
      <c r="A399" t="s">
        <v>4</v>
      </c>
      <c r="B399" t="s">
        <v>13</v>
      </c>
    </row>
    <row r="401" spans="1:3" x14ac:dyDescent="0.25">
      <c r="A401" t="s">
        <v>10</v>
      </c>
      <c r="B401" t="s">
        <v>18</v>
      </c>
      <c r="C401" t="str">
        <f>A401&amp;B401</f>
        <v>launch5.VBSscript15</v>
      </c>
    </row>
    <row r="403" spans="1:3" x14ac:dyDescent="0.25">
      <c r="A403" t="s">
        <v>12</v>
      </c>
      <c r="B403" t="s">
        <v>22</v>
      </c>
      <c r="C403" t="str">
        <f>A403&amp;B403</f>
        <v>launch1.VBSscript3</v>
      </c>
    </row>
    <row r="405" spans="1:3" x14ac:dyDescent="0.25">
      <c r="A405" t="s">
        <v>4</v>
      </c>
      <c r="B405" t="s">
        <v>15</v>
      </c>
    </row>
    <row r="407" spans="1:3" x14ac:dyDescent="0.25">
      <c r="A407" t="s">
        <v>4</v>
      </c>
      <c r="B407" t="s">
        <v>5</v>
      </c>
    </row>
    <row r="409" spans="1:3" x14ac:dyDescent="0.25">
      <c r="A409" t="s">
        <v>4</v>
      </c>
      <c r="B409" t="s">
        <v>8</v>
      </c>
    </row>
    <row r="411" spans="1:3" x14ac:dyDescent="0.25">
      <c r="A411" t="s">
        <v>2</v>
      </c>
      <c r="B411" t="s">
        <v>11</v>
      </c>
    </row>
    <row r="413" spans="1:3" x14ac:dyDescent="0.25">
      <c r="A413" t="s">
        <v>17</v>
      </c>
      <c r="B413" t="s">
        <v>14</v>
      </c>
      <c r="C413" t="str">
        <f>A413&amp;B413</f>
        <v>launch2.VBSscript6</v>
      </c>
    </row>
    <row r="415" spans="1:3" x14ac:dyDescent="0.25">
      <c r="A415" t="s">
        <v>4</v>
      </c>
      <c r="B415" t="s">
        <v>3</v>
      </c>
    </row>
    <row r="417" spans="1:3" x14ac:dyDescent="0.25">
      <c r="A417" t="s">
        <v>2</v>
      </c>
      <c r="B417" t="s">
        <v>6</v>
      </c>
    </row>
    <row r="419" spans="1:3" x14ac:dyDescent="0.25">
      <c r="A419" t="s">
        <v>7</v>
      </c>
      <c r="B419" t="s">
        <v>1</v>
      </c>
      <c r="C419" t="str">
        <f>A419&amp;B419</f>
        <v>launch4.VBSscript9</v>
      </c>
    </row>
    <row r="421" spans="1:3" x14ac:dyDescent="0.25">
      <c r="A421" t="s">
        <v>2</v>
      </c>
      <c r="B421" t="s">
        <v>9</v>
      </c>
    </row>
    <row r="423" spans="1:3" x14ac:dyDescent="0.25">
      <c r="A423" t="s">
        <v>2</v>
      </c>
      <c r="B423" t="s">
        <v>16</v>
      </c>
    </row>
    <row r="425" spans="1:3" x14ac:dyDescent="0.25">
      <c r="A425" t="s">
        <v>20</v>
      </c>
      <c r="B425" t="s">
        <v>21</v>
      </c>
      <c r="C425" t="str">
        <f>A425&amp;B425</f>
        <v>launch3.VBSscript12</v>
      </c>
    </row>
    <row r="427" spans="1:3" x14ac:dyDescent="0.25">
      <c r="A427" t="s">
        <v>2</v>
      </c>
      <c r="B427" t="s">
        <v>19</v>
      </c>
    </row>
    <row r="430" spans="1:3" x14ac:dyDescent="0.25">
      <c r="A430" t="s">
        <v>35</v>
      </c>
    </row>
    <row r="432" spans="1:3" x14ac:dyDescent="0.25">
      <c r="A432" t="s">
        <v>2</v>
      </c>
      <c r="B432" t="s">
        <v>1</v>
      </c>
    </row>
    <row r="434" spans="1:3" x14ac:dyDescent="0.25">
      <c r="A434" t="s">
        <v>20</v>
      </c>
      <c r="B434" t="s">
        <v>8</v>
      </c>
      <c r="C434" t="str">
        <f>A434&amp;B434</f>
        <v>launch3.VBSscript4</v>
      </c>
    </row>
    <row r="436" spans="1:3" x14ac:dyDescent="0.25">
      <c r="A436" t="s">
        <v>2</v>
      </c>
      <c r="B436" t="s">
        <v>18</v>
      </c>
    </row>
    <row r="438" spans="1:3" x14ac:dyDescent="0.25">
      <c r="A438" t="s">
        <v>4</v>
      </c>
      <c r="B438" t="s">
        <v>19</v>
      </c>
    </row>
    <row r="440" spans="1:3" x14ac:dyDescent="0.25">
      <c r="A440" t="s">
        <v>4</v>
      </c>
      <c r="B440" t="s">
        <v>11</v>
      </c>
    </row>
    <row r="442" spans="1:3" x14ac:dyDescent="0.25">
      <c r="A442" t="s">
        <v>2</v>
      </c>
      <c r="B442" t="s">
        <v>21</v>
      </c>
    </row>
    <row r="444" spans="1:3" x14ac:dyDescent="0.25">
      <c r="A444" t="s">
        <v>12</v>
      </c>
      <c r="B444" t="s">
        <v>3</v>
      </c>
      <c r="C444" t="str">
        <f>A444&amp;B444</f>
        <v>launch1.VBSscript7</v>
      </c>
    </row>
    <row r="446" spans="1:3" x14ac:dyDescent="0.25">
      <c r="A446" t="s">
        <v>7</v>
      </c>
      <c r="B446" t="s">
        <v>13</v>
      </c>
      <c r="C446" t="str">
        <f>A446&amp;B446</f>
        <v>launch4.VBSscript10</v>
      </c>
    </row>
    <row r="448" spans="1:3" x14ac:dyDescent="0.25">
      <c r="A448" t="s">
        <v>2</v>
      </c>
      <c r="B448" t="s">
        <v>22</v>
      </c>
    </row>
    <row r="450" spans="1:3" x14ac:dyDescent="0.25">
      <c r="A450" t="s">
        <v>10</v>
      </c>
      <c r="B450" t="s">
        <v>5</v>
      </c>
      <c r="C450" t="str">
        <f>A450&amp;B450</f>
        <v>launch5.VBSscript13</v>
      </c>
    </row>
    <row r="452" spans="1:3" x14ac:dyDescent="0.25">
      <c r="A452" t="s">
        <v>4</v>
      </c>
      <c r="B452" t="s">
        <v>9</v>
      </c>
    </row>
    <row r="454" spans="1:3" x14ac:dyDescent="0.25">
      <c r="A454" t="s">
        <v>2</v>
      </c>
      <c r="B454" t="s">
        <v>14</v>
      </c>
    </row>
    <row r="456" spans="1:3" x14ac:dyDescent="0.25">
      <c r="A456" t="s">
        <v>4</v>
      </c>
      <c r="B456" t="s">
        <v>6</v>
      </c>
    </row>
    <row r="458" spans="1:3" x14ac:dyDescent="0.25">
      <c r="A458" t="s">
        <v>17</v>
      </c>
      <c r="B458" t="s">
        <v>15</v>
      </c>
      <c r="C458" t="str">
        <f>A458&amp;B458</f>
        <v>launch2.VBSscript1</v>
      </c>
    </row>
    <row r="460" spans="1:3" x14ac:dyDescent="0.25">
      <c r="A460" t="s">
        <v>4</v>
      </c>
      <c r="B460" t="s">
        <v>16</v>
      </c>
    </row>
    <row r="463" spans="1:3" x14ac:dyDescent="0.25">
      <c r="A463" t="s">
        <v>36</v>
      </c>
    </row>
    <row r="465" spans="1:3" x14ac:dyDescent="0.25">
      <c r="A465" t="s">
        <v>7</v>
      </c>
      <c r="B465" t="s">
        <v>15</v>
      </c>
      <c r="C465" t="str">
        <f>A465&amp;B465</f>
        <v>launch4.VBSscript1</v>
      </c>
    </row>
    <row r="467" spans="1:3" x14ac:dyDescent="0.25">
      <c r="A467" t="s">
        <v>2</v>
      </c>
      <c r="B467" t="s">
        <v>16</v>
      </c>
    </row>
    <row r="469" spans="1:3" x14ac:dyDescent="0.25">
      <c r="A469" t="s">
        <v>4</v>
      </c>
      <c r="B469" t="s">
        <v>14</v>
      </c>
    </row>
    <row r="471" spans="1:3" x14ac:dyDescent="0.25">
      <c r="A471" t="s">
        <v>4</v>
      </c>
      <c r="B471" t="s">
        <v>18</v>
      </c>
    </row>
    <row r="473" spans="1:3" x14ac:dyDescent="0.25">
      <c r="A473" t="s">
        <v>17</v>
      </c>
      <c r="B473" t="s">
        <v>3</v>
      </c>
      <c r="C473" t="str">
        <f>A473&amp;B473</f>
        <v>launch2.VBSscript7</v>
      </c>
    </row>
    <row r="475" spans="1:3" x14ac:dyDescent="0.25">
      <c r="A475" t="s">
        <v>12</v>
      </c>
      <c r="B475" t="s">
        <v>5</v>
      </c>
      <c r="C475" t="str">
        <f>A475&amp;B475</f>
        <v>launch1.VBSscript13</v>
      </c>
    </row>
    <row r="477" spans="1:3" x14ac:dyDescent="0.25">
      <c r="A477" t="s">
        <v>4</v>
      </c>
      <c r="B477" t="s">
        <v>22</v>
      </c>
    </row>
    <row r="479" spans="1:3" x14ac:dyDescent="0.25">
      <c r="A479" t="s">
        <v>2</v>
      </c>
      <c r="B479" t="s">
        <v>6</v>
      </c>
    </row>
    <row r="481" spans="1:3" x14ac:dyDescent="0.25">
      <c r="A481" t="s">
        <v>10</v>
      </c>
      <c r="B481" t="s">
        <v>8</v>
      </c>
      <c r="C481" t="str">
        <f>A481&amp;B481</f>
        <v>launch5.VBSscript4</v>
      </c>
    </row>
    <row r="483" spans="1:3" x14ac:dyDescent="0.25">
      <c r="A483" t="s">
        <v>2</v>
      </c>
      <c r="B483" t="s">
        <v>19</v>
      </c>
    </row>
    <row r="485" spans="1:3" x14ac:dyDescent="0.25">
      <c r="A485" t="s">
        <v>4</v>
      </c>
      <c r="B485" t="s">
        <v>21</v>
      </c>
    </row>
    <row r="487" spans="1:3" x14ac:dyDescent="0.25">
      <c r="A487" t="s">
        <v>2</v>
      </c>
      <c r="B487" t="s">
        <v>11</v>
      </c>
    </row>
    <row r="489" spans="1:3" x14ac:dyDescent="0.25">
      <c r="A489" t="s">
        <v>4</v>
      </c>
      <c r="B489" t="s">
        <v>1</v>
      </c>
    </row>
    <row r="491" spans="1:3" x14ac:dyDescent="0.25">
      <c r="A491" t="s">
        <v>2</v>
      </c>
      <c r="B491" t="s">
        <v>9</v>
      </c>
    </row>
    <row r="493" spans="1:3" x14ac:dyDescent="0.25">
      <c r="A493" t="s">
        <v>20</v>
      </c>
      <c r="B493" t="s">
        <v>13</v>
      </c>
      <c r="C493" t="str">
        <f>A493&amp;B493</f>
        <v>launch3.VBSscript10</v>
      </c>
    </row>
    <row r="496" spans="1:3" x14ac:dyDescent="0.25">
      <c r="A496" t="s">
        <v>37</v>
      </c>
    </row>
    <row r="498" spans="1:3" x14ac:dyDescent="0.25">
      <c r="A498" t="s">
        <v>12</v>
      </c>
      <c r="B498" t="s">
        <v>1</v>
      </c>
      <c r="C498" t="str">
        <f>A498&amp;B498</f>
        <v>launch1.VBSscript9</v>
      </c>
    </row>
    <row r="500" spans="1:3" x14ac:dyDescent="0.25">
      <c r="A500" t="s">
        <v>4</v>
      </c>
      <c r="B500" t="s">
        <v>6</v>
      </c>
    </row>
    <row r="502" spans="1:3" x14ac:dyDescent="0.25">
      <c r="A502" t="s">
        <v>2</v>
      </c>
      <c r="B502" t="s">
        <v>3</v>
      </c>
    </row>
    <row r="504" spans="1:3" x14ac:dyDescent="0.25">
      <c r="A504" t="s">
        <v>17</v>
      </c>
      <c r="B504" t="s">
        <v>14</v>
      </c>
      <c r="C504" t="str">
        <f>A504&amp;B504</f>
        <v>launch2.VBSscript6</v>
      </c>
    </row>
    <row r="506" spans="1:3" x14ac:dyDescent="0.25">
      <c r="A506" t="s">
        <v>2</v>
      </c>
      <c r="B506" t="s">
        <v>13</v>
      </c>
    </row>
    <row r="508" spans="1:3" x14ac:dyDescent="0.25">
      <c r="A508" t="s">
        <v>4</v>
      </c>
      <c r="B508" t="s">
        <v>9</v>
      </c>
    </row>
    <row r="510" spans="1:3" x14ac:dyDescent="0.25">
      <c r="A510" t="s">
        <v>4</v>
      </c>
      <c r="B510" t="s">
        <v>11</v>
      </c>
    </row>
    <row r="512" spans="1:3" x14ac:dyDescent="0.25">
      <c r="A512" t="s">
        <v>20</v>
      </c>
      <c r="B512" t="s">
        <v>18</v>
      </c>
      <c r="C512" t="str">
        <f>A512&amp;B512</f>
        <v>launch3.VBSscript15</v>
      </c>
    </row>
    <row r="514" spans="1:3" x14ac:dyDescent="0.25">
      <c r="A514" t="s">
        <v>10</v>
      </c>
      <c r="B514" t="s">
        <v>21</v>
      </c>
      <c r="C514" t="str">
        <f>A514&amp;B514</f>
        <v>launch5.VBSscript12</v>
      </c>
    </row>
    <row r="516" spans="1:3" x14ac:dyDescent="0.25">
      <c r="A516" t="s">
        <v>4</v>
      </c>
      <c r="B516" t="s">
        <v>19</v>
      </c>
    </row>
    <row r="518" spans="1:3" x14ac:dyDescent="0.25">
      <c r="A518" t="s">
        <v>2</v>
      </c>
      <c r="B518" t="s">
        <v>8</v>
      </c>
    </row>
    <row r="520" spans="1:3" x14ac:dyDescent="0.25">
      <c r="A520" t="s">
        <v>2</v>
      </c>
      <c r="B520" t="s">
        <v>5</v>
      </c>
    </row>
    <row r="522" spans="1:3" x14ac:dyDescent="0.25">
      <c r="A522" t="s">
        <v>7</v>
      </c>
      <c r="B522" t="s">
        <v>22</v>
      </c>
      <c r="C522" t="str">
        <f>A522&amp;B522</f>
        <v>launch4.VBSscript3</v>
      </c>
    </row>
    <row r="524" spans="1:3" x14ac:dyDescent="0.25">
      <c r="A524" t="s">
        <v>2</v>
      </c>
      <c r="B524" t="s">
        <v>15</v>
      </c>
    </row>
    <row r="526" spans="1:3" x14ac:dyDescent="0.25">
      <c r="A526" t="s">
        <v>4</v>
      </c>
      <c r="B526" t="s">
        <v>16</v>
      </c>
    </row>
    <row r="529" spans="1:3" x14ac:dyDescent="0.25">
      <c r="A529" t="s">
        <v>38</v>
      </c>
    </row>
    <row r="531" spans="1:3" x14ac:dyDescent="0.25">
      <c r="A531" t="s">
        <v>2</v>
      </c>
      <c r="B531" t="s">
        <v>3</v>
      </c>
    </row>
    <row r="533" spans="1:3" x14ac:dyDescent="0.25">
      <c r="A533" t="s">
        <v>2</v>
      </c>
      <c r="B533" t="s">
        <v>8</v>
      </c>
    </row>
    <row r="535" spans="1:3" x14ac:dyDescent="0.25">
      <c r="A535" t="s">
        <v>7</v>
      </c>
      <c r="B535" t="s">
        <v>19</v>
      </c>
      <c r="C535" t="str">
        <f>A535&amp;B535</f>
        <v>launch4.VBSscript5</v>
      </c>
    </row>
    <row r="537" spans="1:3" x14ac:dyDescent="0.25">
      <c r="A537" t="s">
        <v>4</v>
      </c>
      <c r="B537" t="s">
        <v>1</v>
      </c>
    </row>
    <row r="539" spans="1:3" x14ac:dyDescent="0.25">
      <c r="A539" t="s">
        <v>4</v>
      </c>
      <c r="B539" t="s">
        <v>18</v>
      </c>
    </row>
    <row r="541" spans="1:3" x14ac:dyDescent="0.25">
      <c r="A541" t="s">
        <v>12</v>
      </c>
      <c r="B541" t="s">
        <v>11</v>
      </c>
      <c r="C541" t="str">
        <f>A541&amp;B541</f>
        <v>launch1.VBSscript11</v>
      </c>
    </row>
    <row r="543" spans="1:3" x14ac:dyDescent="0.25">
      <c r="A543" t="s">
        <v>4</v>
      </c>
      <c r="B543" t="s">
        <v>22</v>
      </c>
    </row>
    <row r="545" spans="1:3" x14ac:dyDescent="0.25">
      <c r="A545" t="s">
        <v>17</v>
      </c>
      <c r="B545" t="s">
        <v>6</v>
      </c>
      <c r="C545" t="str">
        <f>A545&amp;B545</f>
        <v>launch2.VBSscript8</v>
      </c>
    </row>
    <row r="547" spans="1:3" x14ac:dyDescent="0.25">
      <c r="A547" t="s">
        <v>2</v>
      </c>
      <c r="B547" t="s">
        <v>15</v>
      </c>
    </row>
    <row r="549" spans="1:3" x14ac:dyDescent="0.25">
      <c r="A549" t="s">
        <v>20</v>
      </c>
      <c r="B549" t="s">
        <v>16</v>
      </c>
      <c r="C549" t="str">
        <f>A549&amp;B549</f>
        <v>launch3.VBSscript2</v>
      </c>
    </row>
    <row r="551" spans="1:3" x14ac:dyDescent="0.25">
      <c r="A551" t="s">
        <v>4</v>
      </c>
      <c r="B551" t="s">
        <v>21</v>
      </c>
    </row>
    <row r="553" spans="1:3" x14ac:dyDescent="0.25">
      <c r="A553" t="s">
        <v>2</v>
      </c>
      <c r="B553" t="s">
        <v>5</v>
      </c>
    </row>
    <row r="555" spans="1:3" x14ac:dyDescent="0.25">
      <c r="A555" t="s">
        <v>4</v>
      </c>
      <c r="B555" t="s">
        <v>14</v>
      </c>
    </row>
    <row r="557" spans="1:3" x14ac:dyDescent="0.25">
      <c r="A557" t="s">
        <v>2</v>
      </c>
      <c r="B557" t="s">
        <v>13</v>
      </c>
    </row>
    <row r="559" spans="1:3" x14ac:dyDescent="0.25">
      <c r="A559" t="s">
        <v>10</v>
      </c>
      <c r="B559" t="s">
        <v>9</v>
      </c>
      <c r="C559" t="str">
        <f>A559&amp;B559</f>
        <v>launch5.VBSscript14</v>
      </c>
    </row>
    <row r="562" spans="1:3" x14ac:dyDescent="0.25">
      <c r="A562" t="s">
        <v>39</v>
      </c>
    </row>
    <row r="564" spans="1:3" x14ac:dyDescent="0.25">
      <c r="A564" t="s">
        <v>4</v>
      </c>
      <c r="B564" t="s">
        <v>3</v>
      </c>
    </row>
    <row r="566" spans="1:3" x14ac:dyDescent="0.25">
      <c r="A566" t="s">
        <v>2</v>
      </c>
      <c r="B566" t="s">
        <v>21</v>
      </c>
    </row>
    <row r="568" spans="1:3" x14ac:dyDescent="0.25">
      <c r="A568" t="s">
        <v>20</v>
      </c>
      <c r="B568" t="s">
        <v>16</v>
      </c>
      <c r="C568" t="str">
        <f>A568&amp;B568</f>
        <v>launch3.VBSscript2</v>
      </c>
    </row>
    <row r="570" spans="1:3" x14ac:dyDescent="0.25">
      <c r="A570" t="s">
        <v>12</v>
      </c>
      <c r="B570" t="s">
        <v>9</v>
      </c>
      <c r="C570" t="str">
        <f>A570&amp;B570</f>
        <v>launch1.VBSscript14</v>
      </c>
    </row>
    <row r="572" spans="1:3" x14ac:dyDescent="0.25">
      <c r="A572" t="s">
        <v>4</v>
      </c>
      <c r="B572" t="s">
        <v>5</v>
      </c>
    </row>
    <row r="574" spans="1:3" x14ac:dyDescent="0.25">
      <c r="A574" t="s">
        <v>7</v>
      </c>
      <c r="B574" t="s">
        <v>6</v>
      </c>
      <c r="C574" t="str">
        <f>A574&amp;B574</f>
        <v>launch4.VBSscript8</v>
      </c>
    </row>
    <row r="576" spans="1:3" x14ac:dyDescent="0.25">
      <c r="A576" t="s">
        <v>4</v>
      </c>
      <c r="B576" t="s">
        <v>8</v>
      </c>
    </row>
    <row r="578" spans="1:3" x14ac:dyDescent="0.25">
      <c r="A578" t="s">
        <v>2</v>
      </c>
      <c r="B578" t="s">
        <v>1</v>
      </c>
    </row>
    <row r="580" spans="1:3" x14ac:dyDescent="0.25">
      <c r="A580" t="s">
        <v>4</v>
      </c>
      <c r="B580" t="s">
        <v>13</v>
      </c>
    </row>
    <row r="582" spans="1:3" x14ac:dyDescent="0.25">
      <c r="A582" t="s">
        <v>2</v>
      </c>
      <c r="B582" t="s">
        <v>14</v>
      </c>
    </row>
    <row r="584" spans="1:3" x14ac:dyDescent="0.25">
      <c r="A584" t="s">
        <v>4</v>
      </c>
      <c r="B584" t="s">
        <v>15</v>
      </c>
    </row>
    <row r="586" spans="1:3" x14ac:dyDescent="0.25">
      <c r="A586" t="s">
        <v>10</v>
      </c>
      <c r="B586" t="s">
        <v>19</v>
      </c>
      <c r="C586" t="str">
        <f>A586&amp;B586</f>
        <v>launch5.VBSscript5</v>
      </c>
    </row>
    <row r="588" spans="1:3" x14ac:dyDescent="0.25">
      <c r="A588" t="s">
        <v>2</v>
      </c>
      <c r="B588" t="s">
        <v>18</v>
      </c>
    </row>
    <row r="590" spans="1:3" x14ac:dyDescent="0.25">
      <c r="A590" t="s">
        <v>2</v>
      </c>
      <c r="B590" t="s">
        <v>22</v>
      </c>
    </row>
    <row r="592" spans="1:3" x14ac:dyDescent="0.25">
      <c r="A592" t="s">
        <v>17</v>
      </c>
      <c r="B592" t="s">
        <v>11</v>
      </c>
      <c r="C592" t="str">
        <f>A592&amp;B592</f>
        <v>launch2.VBSscript11</v>
      </c>
    </row>
    <row r="595" spans="1:3" x14ac:dyDescent="0.25">
      <c r="A595" t="s">
        <v>40</v>
      </c>
    </row>
    <row r="597" spans="1:3" x14ac:dyDescent="0.25">
      <c r="A597" t="s">
        <v>17</v>
      </c>
      <c r="B597" t="s">
        <v>22</v>
      </c>
      <c r="C597" t="str">
        <f>A597&amp;B597</f>
        <v>launch2.VBSscript3</v>
      </c>
    </row>
    <row r="599" spans="1:3" x14ac:dyDescent="0.25">
      <c r="A599" t="s">
        <v>2</v>
      </c>
      <c r="B599" t="s">
        <v>11</v>
      </c>
    </row>
    <row r="601" spans="1:3" x14ac:dyDescent="0.25">
      <c r="A601" t="s">
        <v>4</v>
      </c>
      <c r="B601" t="s">
        <v>15</v>
      </c>
    </row>
    <row r="603" spans="1:3" x14ac:dyDescent="0.25">
      <c r="A603" t="s">
        <v>7</v>
      </c>
      <c r="B603" t="s">
        <v>14</v>
      </c>
      <c r="C603" t="str">
        <f>A603&amp;B603</f>
        <v>launch4.VBSscript6</v>
      </c>
    </row>
    <row r="605" spans="1:3" x14ac:dyDescent="0.25">
      <c r="A605" t="s">
        <v>2</v>
      </c>
      <c r="B605" t="s">
        <v>16</v>
      </c>
    </row>
    <row r="607" spans="1:3" x14ac:dyDescent="0.25">
      <c r="A607" t="s">
        <v>20</v>
      </c>
      <c r="B607" t="s">
        <v>21</v>
      </c>
      <c r="C607" t="str">
        <f>A607&amp;B607</f>
        <v>launch3.VBSscript12</v>
      </c>
    </row>
    <row r="609" spans="1:3" x14ac:dyDescent="0.25">
      <c r="A609" t="s">
        <v>4</v>
      </c>
      <c r="B609" t="s">
        <v>13</v>
      </c>
    </row>
    <row r="611" spans="1:3" x14ac:dyDescent="0.25">
      <c r="A611" t="s">
        <v>10</v>
      </c>
      <c r="B611" t="s">
        <v>1</v>
      </c>
      <c r="C611" t="str">
        <f>A611&amp;B611</f>
        <v>launch5.VBSscript9</v>
      </c>
    </row>
    <row r="613" spans="1:3" x14ac:dyDescent="0.25">
      <c r="A613" t="s">
        <v>4</v>
      </c>
      <c r="B613" t="s">
        <v>8</v>
      </c>
    </row>
    <row r="615" spans="1:3" x14ac:dyDescent="0.25">
      <c r="A615" t="s">
        <v>2</v>
      </c>
      <c r="B615" t="s">
        <v>19</v>
      </c>
    </row>
    <row r="617" spans="1:3" x14ac:dyDescent="0.25">
      <c r="A617" t="s">
        <v>4</v>
      </c>
      <c r="B617" t="s">
        <v>3</v>
      </c>
    </row>
    <row r="619" spans="1:3" x14ac:dyDescent="0.25">
      <c r="A619" t="s">
        <v>4</v>
      </c>
      <c r="B619" t="s">
        <v>5</v>
      </c>
    </row>
    <row r="621" spans="1:3" x14ac:dyDescent="0.25">
      <c r="A621" t="s">
        <v>12</v>
      </c>
      <c r="B621" t="s">
        <v>18</v>
      </c>
      <c r="C621" t="str">
        <f>A621&amp;B621</f>
        <v>launch1.VBSscript15</v>
      </c>
    </row>
    <row r="623" spans="1:3" x14ac:dyDescent="0.25">
      <c r="A623" t="s">
        <v>2</v>
      </c>
      <c r="B623" t="s">
        <v>9</v>
      </c>
    </row>
    <row r="625" spans="1:3" x14ac:dyDescent="0.25">
      <c r="A625" t="s">
        <v>2</v>
      </c>
      <c r="B625" t="s">
        <v>6</v>
      </c>
    </row>
    <row r="628" spans="1:3" x14ac:dyDescent="0.25">
      <c r="A628" t="s">
        <v>41</v>
      </c>
    </row>
    <row r="630" spans="1:3" x14ac:dyDescent="0.25">
      <c r="A630" t="s">
        <v>7</v>
      </c>
      <c r="B630" t="s">
        <v>3</v>
      </c>
      <c r="C630" t="str">
        <f>A630&amp;B630</f>
        <v>launch4.VBSscript7</v>
      </c>
    </row>
    <row r="632" spans="1:3" x14ac:dyDescent="0.25">
      <c r="A632" t="s">
        <v>4</v>
      </c>
      <c r="B632" t="s">
        <v>16</v>
      </c>
    </row>
    <row r="634" spans="1:3" x14ac:dyDescent="0.25">
      <c r="A634" t="s">
        <v>4</v>
      </c>
      <c r="B634" t="s">
        <v>9</v>
      </c>
    </row>
    <row r="636" spans="1:3" x14ac:dyDescent="0.25">
      <c r="A636" t="s">
        <v>2</v>
      </c>
      <c r="B636" t="s">
        <v>14</v>
      </c>
    </row>
    <row r="638" spans="1:3" x14ac:dyDescent="0.25">
      <c r="A638" t="s">
        <v>2</v>
      </c>
      <c r="B638" t="s">
        <v>1</v>
      </c>
    </row>
    <row r="640" spans="1:3" x14ac:dyDescent="0.25">
      <c r="A640" t="s">
        <v>12</v>
      </c>
      <c r="B640" t="s">
        <v>5</v>
      </c>
      <c r="C640" t="str">
        <f>A640&amp;B640</f>
        <v>launch1.VBSscript13</v>
      </c>
    </row>
    <row r="642" spans="1:3" x14ac:dyDescent="0.25">
      <c r="A642" t="s">
        <v>2</v>
      </c>
      <c r="B642" t="s">
        <v>22</v>
      </c>
    </row>
    <row r="644" spans="1:3" x14ac:dyDescent="0.25">
      <c r="A644" t="s">
        <v>2</v>
      </c>
      <c r="B644" t="s">
        <v>21</v>
      </c>
    </row>
    <row r="646" spans="1:3" x14ac:dyDescent="0.25">
      <c r="A646" t="s">
        <v>17</v>
      </c>
      <c r="B646" t="s">
        <v>8</v>
      </c>
      <c r="C646" t="str">
        <f>A646&amp;B646</f>
        <v>launch2.VBSscript4</v>
      </c>
    </row>
    <row r="648" spans="1:3" x14ac:dyDescent="0.25">
      <c r="A648" t="s">
        <v>4</v>
      </c>
      <c r="B648" t="s">
        <v>6</v>
      </c>
    </row>
    <row r="650" spans="1:3" x14ac:dyDescent="0.25">
      <c r="A650" t="s">
        <v>2</v>
      </c>
      <c r="B650" t="s">
        <v>18</v>
      </c>
    </row>
    <row r="652" spans="1:3" x14ac:dyDescent="0.25">
      <c r="A652" t="s">
        <v>10</v>
      </c>
      <c r="B652" t="s">
        <v>13</v>
      </c>
      <c r="C652" t="str">
        <f>A652&amp;B652</f>
        <v>launch5.VBSscript10</v>
      </c>
    </row>
    <row r="654" spans="1:3" x14ac:dyDescent="0.25">
      <c r="A654" t="s">
        <v>4</v>
      </c>
      <c r="B654" t="s">
        <v>11</v>
      </c>
    </row>
    <row r="656" spans="1:3" x14ac:dyDescent="0.25">
      <c r="A656" t="s">
        <v>20</v>
      </c>
      <c r="B656" t="s">
        <v>15</v>
      </c>
      <c r="C656" t="str">
        <f>A656&amp;B656</f>
        <v>launch3.VBSscript1</v>
      </c>
    </row>
    <row r="658" spans="1:3" x14ac:dyDescent="0.25">
      <c r="A658" t="s">
        <v>4</v>
      </c>
      <c r="B658" t="s">
        <v>19</v>
      </c>
    </row>
    <row r="661" spans="1:3" x14ac:dyDescent="0.25">
      <c r="A661" t="s">
        <v>42</v>
      </c>
    </row>
    <row r="663" spans="1:3" x14ac:dyDescent="0.25">
      <c r="A663" t="s">
        <v>20</v>
      </c>
      <c r="B663" t="s">
        <v>13</v>
      </c>
      <c r="C663" t="str">
        <f>A663&amp;B663</f>
        <v>launch3.VBSscript10</v>
      </c>
    </row>
    <row r="665" spans="1:3" x14ac:dyDescent="0.25">
      <c r="A665" t="s">
        <v>7</v>
      </c>
      <c r="B665" t="s">
        <v>3</v>
      </c>
      <c r="C665" t="str">
        <f>A665&amp;B665</f>
        <v>launch4.VBSscript7</v>
      </c>
    </row>
    <row r="667" spans="1:3" x14ac:dyDescent="0.25">
      <c r="A667" t="s">
        <v>4</v>
      </c>
      <c r="B667" t="s">
        <v>22</v>
      </c>
    </row>
    <row r="669" spans="1:3" x14ac:dyDescent="0.25">
      <c r="A669" t="s">
        <v>4</v>
      </c>
      <c r="B669" t="s">
        <v>1</v>
      </c>
    </row>
    <row r="671" spans="1:3" x14ac:dyDescent="0.25">
      <c r="A671" t="s">
        <v>12</v>
      </c>
      <c r="B671" t="s">
        <v>5</v>
      </c>
      <c r="C671" t="str">
        <f>A671&amp;B671</f>
        <v>launch1.VBSscript13</v>
      </c>
    </row>
    <row r="673" spans="1:3" x14ac:dyDescent="0.25">
      <c r="A673" t="s">
        <v>4</v>
      </c>
      <c r="B673" t="s">
        <v>21</v>
      </c>
    </row>
    <row r="675" spans="1:3" x14ac:dyDescent="0.25">
      <c r="A675" t="s">
        <v>4</v>
      </c>
      <c r="B675" t="s">
        <v>18</v>
      </c>
    </row>
    <row r="677" spans="1:3" x14ac:dyDescent="0.25">
      <c r="A677" t="s">
        <v>2</v>
      </c>
      <c r="B677" t="s">
        <v>9</v>
      </c>
    </row>
    <row r="679" spans="1:3" x14ac:dyDescent="0.25">
      <c r="A679" t="s">
        <v>2</v>
      </c>
      <c r="B679" t="s">
        <v>19</v>
      </c>
    </row>
    <row r="681" spans="1:3" x14ac:dyDescent="0.25">
      <c r="A681" t="s">
        <v>10</v>
      </c>
      <c r="B681" t="s">
        <v>8</v>
      </c>
      <c r="C681" t="str">
        <f>A681&amp;B681</f>
        <v>launch5.VBSscript4</v>
      </c>
    </row>
    <row r="683" spans="1:3" x14ac:dyDescent="0.25">
      <c r="A683" t="s">
        <v>2</v>
      </c>
      <c r="B683" t="s">
        <v>6</v>
      </c>
    </row>
    <row r="685" spans="1:3" x14ac:dyDescent="0.25">
      <c r="A685" t="s">
        <v>2</v>
      </c>
      <c r="B685" t="s">
        <v>16</v>
      </c>
    </row>
    <row r="687" spans="1:3" x14ac:dyDescent="0.25">
      <c r="A687" t="s">
        <v>4</v>
      </c>
      <c r="B687" t="s">
        <v>14</v>
      </c>
    </row>
    <row r="689" spans="1:3" x14ac:dyDescent="0.25">
      <c r="A689" t="s">
        <v>2</v>
      </c>
      <c r="B689" t="s">
        <v>11</v>
      </c>
    </row>
    <row r="691" spans="1:3" x14ac:dyDescent="0.25">
      <c r="A691" t="s">
        <v>17</v>
      </c>
      <c r="B691" t="s">
        <v>15</v>
      </c>
      <c r="C691" t="str">
        <f>A691&amp;B691</f>
        <v>launch2.VBSscript1</v>
      </c>
    </row>
    <row r="694" spans="1:3" x14ac:dyDescent="0.25">
      <c r="A694" t="s">
        <v>43</v>
      </c>
    </row>
    <row r="696" spans="1:3" x14ac:dyDescent="0.25">
      <c r="A696" t="s">
        <v>4</v>
      </c>
      <c r="B696" t="s">
        <v>19</v>
      </c>
    </row>
    <row r="698" spans="1:3" x14ac:dyDescent="0.25">
      <c r="A698" t="s">
        <v>4</v>
      </c>
      <c r="B698" t="s">
        <v>16</v>
      </c>
    </row>
    <row r="700" spans="1:3" x14ac:dyDescent="0.25">
      <c r="A700" t="s">
        <v>2</v>
      </c>
      <c r="B700" t="s">
        <v>3</v>
      </c>
    </row>
    <row r="702" spans="1:3" x14ac:dyDescent="0.25">
      <c r="A702" t="s">
        <v>10</v>
      </c>
      <c r="B702" t="s">
        <v>21</v>
      </c>
      <c r="C702" t="str">
        <f>A702&amp;B702</f>
        <v>launch5.VBSscript12</v>
      </c>
    </row>
    <row r="704" spans="1:3" x14ac:dyDescent="0.25">
      <c r="A704" t="s">
        <v>2</v>
      </c>
      <c r="B704" t="s">
        <v>8</v>
      </c>
    </row>
    <row r="706" spans="1:3" x14ac:dyDescent="0.25">
      <c r="A706" t="s">
        <v>4</v>
      </c>
      <c r="B706" t="s">
        <v>6</v>
      </c>
    </row>
    <row r="708" spans="1:3" x14ac:dyDescent="0.25">
      <c r="A708" t="s">
        <v>2</v>
      </c>
      <c r="B708" t="s">
        <v>13</v>
      </c>
    </row>
    <row r="710" spans="1:3" x14ac:dyDescent="0.25">
      <c r="A710" t="s">
        <v>2</v>
      </c>
      <c r="B710" t="s">
        <v>5</v>
      </c>
    </row>
    <row r="712" spans="1:3" x14ac:dyDescent="0.25">
      <c r="A712" t="s">
        <v>4</v>
      </c>
      <c r="B712" t="s">
        <v>9</v>
      </c>
    </row>
    <row r="714" spans="1:3" x14ac:dyDescent="0.25">
      <c r="A714" t="s">
        <v>20</v>
      </c>
      <c r="B714" t="s">
        <v>14</v>
      </c>
      <c r="C714" t="str">
        <f>A714&amp;B714</f>
        <v>launch3.VBSscript6</v>
      </c>
    </row>
    <row r="716" spans="1:3" x14ac:dyDescent="0.25">
      <c r="A716" t="s">
        <v>12</v>
      </c>
      <c r="B716" t="s">
        <v>1</v>
      </c>
      <c r="C716" t="str">
        <f>A716&amp;B716</f>
        <v>launch1.VBSscript9</v>
      </c>
    </row>
    <row r="718" spans="1:3" x14ac:dyDescent="0.25">
      <c r="A718" t="s">
        <v>7</v>
      </c>
      <c r="B718" t="s">
        <v>22</v>
      </c>
      <c r="C718" t="str">
        <f>A718&amp;B718</f>
        <v>launch4.VBSscript3</v>
      </c>
    </row>
    <row r="720" spans="1:3" x14ac:dyDescent="0.25">
      <c r="A720" t="s">
        <v>2</v>
      </c>
      <c r="B720" t="s">
        <v>15</v>
      </c>
    </row>
    <row r="722" spans="1:3" x14ac:dyDescent="0.25">
      <c r="A722" t="s">
        <v>4</v>
      </c>
      <c r="B722" t="s">
        <v>11</v>
      </c>
    </row>
    <row r="724" spans="1:3" x14ac:dyDescent="0.25">
      <c r="A724" t="s">
        <v>17</v>
      </c>
      <c r="B724" t="s">
        <v>18</v>
      </c>
      <c r="C724" t="str">
        <f>A724&amp;B724</f>
        <v>launch2.VBSscript15</v>
      </c>
    </row>
    <row r="727" spans="1:3" x14ac:dyDescent="0.25">
      <c r="A727" t="s">
        <v>44</v>
      </c>
    </row>
    <row r="729" spans="1:3" x14ac:dyDescent="0.25">
      <c r="A729" t="s">
        <v>4</v>
      </c>
      <c r="B729" t="s">
        <v>16</v>
      </c>
    </row>
    <row r="731" spans="1:3" x14ac:dyDescent="0.25">
      <c r="A731" t="s">
        <v>2</v>
      </c>
      <c r="B731" t="s">
        <v>22</v>
      </c>
    </row>
    <row r="733" spans="1:3" x14ac:dyDescent="0.25">
      <c r="A733" t="s">
        <v>2</v>
      </c>
      <c r="B733" t="s">
        <v>1</v>
      </c>
    </row>
    <row r="735" spans="1:3" x14ac:dyDescent="0.25">
      <c r="A735" t="s">
        <v>10</v>
      </c>
      <c r="B735" t="s">
        <v>13</v>
      </c>
      <c r="C735" t="str">
        <f>A735&amp;B735</f>
        <v>launch5.VBSscript10</v>
      </c>
    </row>
    <row r="737" spans="1:3" x14ac:dyDescent="0.25">
      <c r="A737" t="s">
        <v>4</v>
      </c>
      <c r="B737" t="s">
        <v>11</v>
      </c>
    </row>
    <row r="739" spans="1:3" x14ac:dyDescent="0.25">
      <c r="A739" t="s">
        <v>12</v>
      </c>
      <c r="B739" t="s">
        <v>8</v>
      </c>
      <c r="C739" t="str">
        <f>A739&amp;B739</f>
        <v>launch1.VBSscript4</v>
      </c>
    </row>
    <row r="741" spans="1:3" x14ac:dyDescent="0.25">
      <c r="A741" t="s">
        <v>17</v>
      </c>
      <c r="B741" t="s">
        <v>5</v>
      </c>
      <c r="C741" t="str">
        <f>A741&amp;B741</f>
        <v>launch2.VBSscript13</v>
      </c>
    </row>
    <row r="743" spans="1:3" x14ac:dyDescent="0.25">
      <c r="A743" t="s">
        <v>2</v>
      </c>
      <c r="B743" t="s">
        <v>21</v>
      </c>
    </row>
    <row r="745" spans="1:3" x14ac:dyDescent="0.25">
      <c r="A745" t="s">
        <v>7</v>
      </c>
      <c r="B745" t="s">
        <v>15</v>
      </c>
      <c r="C745" t="str">
        <f>A745&amp;B745</f>
        <v>launch4.VBSscript1</v>
      </c>
    </row>
    <row r="747" spans="1:3" x14ac:dyDescent="0.25">
      <c r="A747" t="s">
        <v>4</v>
      </c>
      <c r="B747" t="s">
        <v>6</v>
      </c>
    </row>
    <row r="749" spans="1:3" x14ac:dyDescent="0.25">
      <c r="A749" t="s">
        <v>4</v>
      </c>
      <c r="B749" t="s">
        <v>9</v>
      </c>
    </row>
    <row r="751" spans="1:3" x14ac:dyDescent="0.25">
      <c r="A751" t="s">
        <v>4</v>
      </c>
      <c r="B751" t="s">
        <v>19</v>
      </c>
    </row>
    <row r="753" spans="1:3" x14ac:dyDescent="0.25">
      <c r="A753" t="s">
        <v>2</v>
      </c>
      <c r="B753" t="s">
        <v>18</v>
      </c>
    </row>
    <row r="755" spans="1:3" x14ac:dyDescent="0.25">
      <c r="A755" t="s">
        <v>20</v>
      </c>
      <c r="B755" t="s">
        <v>3</v>
      </c>
      <c r="C755" t="str">
        <f>A755&amp;B755</f>
        <v>launch3.VBSscript7</v>
      </c>
    </row>
    <row r="757" spans="1:3" x14ac:dyDescent="0.25">
      <c r="A757" t="s">
        <v>2</v>
      </c>
      <c r="B757" t="s">
        <v>14</v>
      </c>
    </row>
    <row r="760" spans="1:3" x14ac:dyDescent="0.25">
      <c r="A760" t="s">
        <v>45</v>
      </c>
    </row>
    <row r="762" spans="1:3" x14ac:dyDescent="0.25">
      <c r="A762" t="s">
        <v>2</v>
      </c>
      <c r="B762" t="s">
        <v>8</v>
      </c>
    </row>
    <row r="764" spans="1:3" x14ac:dyDescent="0.25">
      <c r="A764" t="s">
        <v>2</v>
      </c>
      <c r="B764" t="s">
        <v>15</v>
      </c>
    </row>
    <row r="766" spans="1:3" x14ac:dyDescent="0.25">
      <c r="A766" t="s">
        <v>2</v>
      </c>
      <c r="B766" t="s">
        <v>3</v>
      </c>
    </row>
    <row r="768" spans="1:3" x14ac:dyDescent="0.25">
      <c r="A768" t="s">
        <v>4</v>
      </c>
      <c r="B768" t="s">
        <v>22</v>
      </c>
    </row>
    <row r="770" spans="1:3" x14ac:dyDescent="0.25">
      <c r="A770" t="s">
        <v>4</v>
      </c>
      <c r="B770" t="s">
        <v>21</v>
      </c>
    </row>
    <row r="772" spans="1:3" x14ac:dyDescent="0.25">
      <c r="A772" t="s">
        <v>20</v>
      </c>
      <c r="B772" t="s">
        <v>6</v>
      </c>
      <c r="C772" t="str">
        <f>A772&amp;B772</f>
        <v>launch3.VBSscript8</v>
      </c>
    </row>
    <row r="774" spans="1:3" x14ac:dyDescent="0.25">
      <c r="A774" t="s">
        <v>10</v>
      </c>
      <c r="B774" t="s">
        <v>11</v>
      </c>
      <c r="C774" t="str">
        <f>A774&amp;B774</f>
        <v>launch5.VBSscript11</v>
      </c>
    </row>
    <row r="776" spans="1:3" x14ac:dyDescent="0.25">
      <c r="A776" t="s">
        <v>4</v>
      </c>
      <c r="B776" t="s">
        <v>18</v>
      </c>
    </row>
    <row r="778" spans="1:3" x14ac:dyDescent="0.25">
      <c r="A778" t="s">
        <v>4</v>
      </c>
      <c r="B778" t="s">
        <v>1</v>
      </c>
    </row>
    <row r="780" spans="1:3" x14ac:dyDescent="0.25">
      <c r="A780" t="s">
        <v>2</v>
      </c>
      <c r="B780" t="s">
        <v>13</v>
      </c>
    </row>
    <row r="782" spans="1:3" x14ac:dyDescent="0.25">
      <c r="A782" t="s">
        <v>4</v>
      </c>
      <c r="B782" t="s">
        <v>14</v>
      </c>
    </row>
    <row r="784" spans="1:3" x14ac:dyDescent="0.25">
      <c r="A784" t="s">
        <v>12</v>
      </c>
      <c r="B784" t="s">
        <v>19</v>
      </c>
      <c r="C784" t="str">
        <f>A784&amp;B784</f>
        <v>launch1.VBSscript5</v>
      </c>
    </row>
    <row r="786" spans="1:3" x14ac:dyDescent="0.25">
      <c r="A786" t="s">
        <v>2</v>
      </c>
      <c r="B786" t="s">
        <v>5</v>
      </c>
    </row>
    <row r="788" spans="1:3" x14ac:dyDescent="0.25">
      <c r="A788" t="s">
        <v>17</v>
      </c>
      <c r="B788" t="s">
        <v>9</v>
      </c>
      <c r="C788" t="str">
        <f>A788&amp;B788</f>
        <v>launch2.VBSscript14</v>
      </c>
    </row>
    <row r="790" spans="1:3" x14ac:dyDescent="0.25">
      <c r="A790" t="s">
        <v>7</v>
      </c>
      <c r="B790" t="s">
        <v>16</v>
      </c>
      <c r="C790" t="str">
        <f>A790&amp;B790</f>
        <v>launch4.VBSscript2</v>
      </c>
    </row>
    <row r="793" spans="1:3" x14ac:dyDescent="0.25">
      <c r="A793" t="s">
        <v>46</v>
      </c>
    </row>
    <row r="795" spans="1:3" x14ac:dyDescent="0.25">
      <c r="A795" t="s">
        <v>4</v>
      </c>
      <c r="B795" t="s">
        <v>5</v>
      </c>
    </row>
    <row r="797" spans="1:3" x14ac:dyDescent="0.25">
      <c r="A797" t="s">
        <v>17</v>
      </c>
      <c r="B797" t="s">
        <v>16</v>
      </c>
      <c r="C797" t="str">
        <f>A797&amp;B797</f>
        <v>launch2.VBSscript2</v>
      </c>
    </row>
    <row r="799" spans="1:3" x14ac:dyDescent="0.25">
      <c r="A799" t="s">
        <v>4</v>
      </c>
      <c r="B799" t="s">
        <v>8</v>
      </c>
    </row>
    <row r="801" spans="1:3" x14ac:dyDescent="0.25">
      <c r="A801" t="s">
        <v>4</v>
      </c>
      <c r="B801" t="s">
        <v>3</v>
      </c>
    </row>
    <row r="803" spans="1:3" x14ac:dyDescent="0.25">
      <c r="A803" t="s">
        <v>20</v>
      </c>
      <c r="B803" t="s">
        <v>11</v>
      </c>
      <c r="C803" t="str">
        <f>A803&amp;B803</f>
        <v>launch3.VBSscript11</v>
      </c>
    </row>
    <row r="805" spans="1:3" x14ac:dyDescent="0.25">
      <c r="A805" t="s">
        <v>2</v>
      </c>
      <c r="B805" t="s">
        <v>21</v>
      </c>
    </row>
    <row r="807" spans="1:3" x14ac:dyDescent="0.25">
      <c r="A807" t="s">
        <v>2</v>
      </c>
      <c r="B807" t="s">
        <v>14</v>
      </c>
    </row>
    <row r="809" spans="1:3" x14ac:dyDescent="0.25">
      <c r="A809" t="s">
        <v>2</v>
      </c>
      <c r="B809" t="s">
        <v>18</v>
      </c>
    </row>
    <row r="811" spans="1:3" x14ac:dyDescent="0.25">
      <c r="A811" t="s">
        <v>12</v>
      </c>
      <c r="B811" t="s">
        <v>9</v>
      </c>
      <c r="C811" t="str">
        <f>A811&amp;B811</f>
        <v>launch1.VBSscript14</v>
      </c>
    </row>
    <row r="813" spans="1:3" x14ac:dyDescent="0.25">
      <c r="A813" t="s">
        <v>4</v>
      </c>
      <c r="B813" t="s">
        <v>15</v>
      </c>
    </row>
    <row r="815" spans="1:3" x14ac:dyDescent="0.25">
      <c r="A815" t="s">
        <v>7</v>
      </c>
      <c r="B815" t="s">
        <v>19</v>
      </c>
      <c r="C815" t="str">
        <f>A815&amp;B815</f>
        <v>launch4.VBSscript5</v>
      </c>
    </row>
    <row r="817" spans="1:3" x14ac:dyDescent="0.25">
      <c r="A817" t="s">
        <v>10</v>
      </c>
      <c r="B817" t="s">
        <v>6</v>
      </c>
      <c r="C817" t="str">
        <f>A817&amp;B817</f>
        <v>launch5.VBSscript8</v>
      </c>
    </row>
    <row r="819" spans="1:3" x14ac:dyDescent="0.25">
      <c r="A819" t="s">
        <v>4</v>
      </c>
      <c r="B819" t="s">
        <v>13</v>
      </c>
    </row>
    <row r="821" spans="1:3" x14ac:dyDescent="0.25">
      <c r="A821" t="s">
        <v>2</v>
      </c>
      <c r="B821" t="s">
        <v>22</v>
      </c>
    </row>
    <row r="823" spans="1:3" x14ac:dyDescent="0.25">
      <c r="A823" t="s">
        <v>2</v>
      </c>
      <c r="B823" t="s">
        <v>1</v>
      </c>
    </row>
    <row r="826" spans="1:3" x14ac:dyDescent="0.25">
      <c r="A826" t="s">
        <v>47</v>
      </c>
    </row>
    <row r="828" spans="1:3" x14ac:dyDescent="0.25">
      <c r="A828" t="s">
        <v>2</v>
      </c>
      <c r="B828" t="s">
        <v>6</v>
      </c>
    </row>
    <row r="830" spans="1:3" x14ac:dyDescent="0.25">
      <c r="A830" t="s">
        <v>2</v>
      </c>
      <c r="B830" t="s">
        <v>9</v>
      </c>
    </row>
    <row r="832" spans="1:3" x14ac:dyDescent="0.25">
      <c r="A832" t="s">
        <v>4</v>
      </c>
      <c r="B832" t="s">
        <v>8</v>
      </c>
    </row>
    <row r="834" spans="1:3" x14ac:dyDescent="0.25">
      <c r="A834" t="s">
        <v>4</v>
      </c>
      <c r="B834" t="s">
        <v>13</v>
      </c>
    </row>
    <row r="836" spans="1:3" x14ac:dyDescent="0.25">
      <c r="A836" t="s">
        <v>17</v>
      </c>
      <c r="B836" t="s">
        <v>22</v>
      </c>
      <c r="C836" t="str">
        <f>A836&amp;B836</f>
        <v>launch2.VBSscript3</v>
      </c>
    </row>
    <row r="838" spans="1:3" x14ac:dyDescent="0.25">
      <c r="A838" t="s">
        <v>2</v>
      </c>
      <c r="B838" t="s">
        <v>16</v>
      </c>
    </row>
    <row r="840" spans="1:3" x14ac:dyDescent="0.25">
      <c r="A840" t="s">
        <v>4</v>
      </c>
      <c r="B840" t="s">
        <v>3</v>
      </c>
    </row>
    <row r="842" spans="1:3" x14ac:dyDescent="0.25">
      <c r="A842" t="s">
        <v>2</v>
      </c>
      <c r="B842" t="s">
        <v>19</v>
      </c>
    </row>
    <row r="844" spans="1:3" x14ac:dyDescent="0.25">
      <c r="A844" t="s">
        <v>10</v>
      </c>
      <c r="B844" t="s">
        <v>1</v>
      </c>
      <c r="C844" t="str">
        <f>A844&amp;B844</f>
        <v>launch5.VBSscript9</v>
      </c>
    </row>
    <row r="846" spans="1:3" x14ac:dyDescent="0.25">
      <c r="A846" t="s">
        <v>7</v>
      </c>
      <c r="B846" t="s">
        <v>18</v>
      </c>
      <c r="C846" t="str">
        <f>A846&amp;B846</f>
        <v>launch4.VBSscript15</v>
      </c>
    </row>
    <row r="848" spans="1:3" x14ac:dyDescent="0.25">
      <c r="A848" t="s">
        <v>4</v>
      </c>
      <c r="B848" t="s">
        <v>5</v>
      </c>
    </row>
    <row r="850" spans="1:3" x14ac:dyDescent="0.25">
      <c r="A850" t="s">
        <v>2</v>
      </c>
      <c r="B850" t="s">
        <v>11</v>
      </c>
    </row>
    <row r="852" spans="1:3" x14ac:dyDescent="0.25">
      <c r="A852" t="s">
        <v>12</v>
      </c>
      <c r="B852" t="s">
        <v>14</v>
      </c>
      <c r="C852" t="str">
        <f>A852&amp;B852</f>
        <v>launch1.VBSscript6</v>
      </c>
    </row>
    <row r="854" spans="1:3" x14ac:dyDescent="0.25">
      <c r="A854" t="s">
        <v>4</v>
      </c>
      <c r="B854" t="s">
        <v>15</v>
      </c>
    </row>
    <row r="856" spans="1:3" x14ac:dyDescent="0.25">
      <c r="A856" t="s">
        <v>20</v>
      </c>
      <c r="B856" t="s">
        <v>21</v>
      </c>
      <c r="C856" t="str">
        <f>A856&amp;B856</f>
        <v>launch3.VBSscript12</v>
      </c>
    </row>
    <row r="859" spans="1:3" x14ac:dyDescent="0.25">
      <c r="A859" t="s">
        <v>48</v>
      </c>
    </row>
    <row r="861" spans="1:3" x14ac:dyDescent="0.25">
      <c r="A861" t="s">
        <v>4</v>
      </c>
      <c r="B861" t="s">
        <v>6</v>
      </c>
    </row>
    <row r="863" spans="1:3" x14ac:dyDescent="0.25">
      <c r="A863" t="s">
        <v>4</v>
      </c>
      <c r="B863" t="s">
        <v>19</v>
      </c>
    </row>
    <row r="865" spans="1:3" x14ac:dyDescent="0.25">
      <c r="A865" t="s">
        <v>4</v>
      </c>
      <c r="B865" t="s">
        <v>9</v>
      </c>
    </row>
    <row r="867" spans="1:3" x14ac:dyDescent="0.25">
      <c r="A867" t="s">
        <v>7</v>
      </c>
      <c r="B867" t="s">
        <v>13</v>
      </c>
      <c r="C867" t="str">
        <f>A867&amp;B867</f>
        <v>launch4.VBSscript10</v>
      </c>
    </row>
    <row r="869" spans="1:3" x14ac:dyDescent="0.25">
      <c r="A869" t="s">
        <v>2</v>
      </c>
      <c r="B869" t="s">
        <v>22</v>
      </c>
    </row>
    <row r="871" spans="1:3" x14ac:dyDescent="0.25">
      <c r="A871" t="s">
        <v>10</v>
      </c>
      <c r="B871" t="s">
        <v>15</v>
      </c>
      <c r="C871" t="str">
        <f>A871&amp;B871</f>
        <v>launch5.VBSscript1</v>
      </c>
    </row>
    <row r="873" spans="1:3" x14ac:dyDescent="0.25">
      <c r="A873" t="s">
        <v>12</v>
      </c>
      <c r="B873" t="s">
        <v>3</v>
      </c>
      <c r="C873" t="str">
        <f>A873&amp;B873</f>
        <v>launch1.VBSscript7</v>
      </c>
    </row>
    <row r="875" spans="1:3" x14ac:dyDescent="0.25">
      <c r="A875" t="s">
        <v>4</v>
      </c>
      <c r="B875" t="s">
        <v>11</v>
      </c>
    </row>
    <row r="877" spans="1:3" x14ac:dyDescent="0.25">
      <c r="A877" t="s">
        <v>2</v>
      </c>
      <c r="B877" t="s">
        <v>18</v>
      </c>
    </row>
    <row r="879" spans="1:3" x14ac:dyDescent="0.25">
      <c r="A879" t="s">
        <v>2</v>
      </c>
      <c r="B879" t="s">
        <v>1</v>
      </c>
    </row>
    <row r="881" spans="1:3" x14ac:dyDescent="0.25">
      <c r="A881" t="s">
        <v>17</v>
      </c>
      <c r="B881" t="s">
        <v>5</v>
      </c>
      <c r="C881" t="str">
        <f>A881&amp;B881</f>
        <v>launch2.VBSscript13</v>
      </c>
    </row>
    <row r="883" spans="1:3" x14ac:dyDescent="0.25">
      <c r="A883" t="s">
        <v>4</v>
      </c>
      <c r="B883" t="s">
        <v>16</v>
      </c>
    </row>
    <row r="885" spans="1:3" x14ac:dyDescent="0.25">
      <c r="A885" t="s">
        <v>2</v>
      </c>
      <c r="B885" t="s">
        <v>21</v>
      </c>
    </row>
    <row r="887" spans="1:3" x14ac:dyDescent="0.25">
      <c r="A887" t="s">
        <v>20</v>
      </c>
      <c r="B887" t="s">
        <v>8</v>
      </c>
      <c r="C887" t="str">
        <f>A887&amp;B887</f>
        <v>launch3.VBSscript4</v>
      </c>
    </row>
    <row r="889" spans="1:3" x14ac:dyDescent="0.25">
      <c r="A889" t="s">
        <v>2</v>
      </c>
      <c r="B889" t="s">
        <v>14</v>
      </c>
    </row>
    <row r="892" spans="1:3" x14ac:dyDescent="0.25">
      <c r="A892" t="s">
        <v>49</v>
      </c>
    </row>
    <row r="894" spans="1:3" x14ac:dyDescent="0.25">
      <c r="A894" t="s">
        <v>2</v>
      </c>
      <c r="B894" t="s">
        <v>9</v>
      </c>
    </row>
    <row r="896" spans="1:3" x14ac:dyDescent="0.25">
      <c r="A896" t="s">
        <v>4</v>
      </c>
      <c r="B896" t="s">
        <v>21</v>
      </c>
    </row>
    <row r="898" spans="1:3" x14ac:dyDescent="0.25">
      <c r="A898" t="s">
        <v>2</v>
      </c>
      <c r="B898" t="s">
        <v>19</v>
      </c>
    </row>
    <row r="900" spans="1:3" x14ac:dyDescent="0.25">
      <c r="A900" t="s">
        <v>4</v>
      </c>
      <c r="B900" t="s">
        <v>1</v>
      </c>
    </row>
    <row r="902" spans="1:3" x14ac:dyDescent="0.25">
      <c r="A902" t="s">
        <v>4</v>
      </c>
      <c r="B902" t="s">
        <v>14</v>
      </c>
    </row>
    <row r="904" spans="1:3" x14ac:dyDescent="0.25">
      <c r="A904" t="s">
        <v>7</v>
      </c>
      <c r="B904" t="s">
        <v>8</v>
      </c>
      <c r="C904" t="str">
        <f>A904&amp;B904</f>
        <v>launch4.VBSscript4</v>
      </c>
    </row>
    <row r="906" spans="1:3" x14ac:dyDescent="0.25">
      <c r="A906" t="s">
        <v>4</v>
      </c>
      <c r="B906" t="s">
        <v>18</v>
      </c>
    </row>
    <row r="908" spans="1:3" x14ac:dyDescent="0.25">
      <c r="A908" t="s">
        <v>2</v>
      </c>
      <c r="B908" t="s">
        <v>11</v>
      </c>
    </row>
    <row r="910" spans="1:3" x14ac:dyDescent="0.25">
      <c r="A910" t="s">
        <v>20</v>
      </c>
      <c r="B910" t="s">
        <v>3</v>
      </c>
      <c r="C910" t="str">
        <f>A910&amp;B910</f>
        <v>launch3.VBSscript7</v>
      </c>
    </row>
    <row r="912" spans="1:3" x14ac:dyDescent="0.25">
      <c r="A912" t="s">
        <v>17</v>
      </c>
      <c r="B912" t="s">
        <v>5</v>
      </c>
      <c r="C912" t="str">
        <f>A912&amp;B912</f>
        <v>launch2.VBSscript13</v>
      </c>
    </row>
    <row r="914" spans="1:3" x14ac:dyDescent="0.25">
      <c r="A914" t="s">
        <v>4</v>
      </c>
      <c r="B914" t="s">
        <v>22</v>
      </c>
    </row>
    <row r="916" spans="1:3" x14ac:dyDescent="0.25">
      <c r="A916" t="s">
        <v>10</v>
      </c>
      <c r="B916" t="s">
        <v>13</v>
      </c>
      <c r="C916" t="str">
        <f>A916&amp;B916</f>
        <v>launch5.VBSscript10</v>
      </c>
    </row>
    <row r="918" spans="1:3" x14ac:dyDescent="0.25">
      <c r="A918" t="s">
        <v>12</v>
      </c>
      <c r="B918" t="s">
        <v>15</v>
      </c>
      <c r="C918" t="str">
        <f>A918&amp;B918</f>
        <v>launch1.VBSscript1</v>
      </c>
    </row>
    <row r="920" spans="1:3" x14ac:dyDescent="0.25">
      <c r="A920" t="s">
        <v>2</v>
      </c>
      <c r="B920" t="s">
        <v>6</v>
      </c>
    </row>
    <row r="922" spans="1:3" x14ac:dyDescent="0.25">
      <c r="A922" t="s">
        <v>2</v>
      </c>
      <c r="B922" t="s">
        <v>16</v>
      </c>
    </row>
    <row r="925" spans="1:3" x14ac:dyDescent="0.25">
      <c r="A925" t="s">
        <v>50</v>
      </c>
    </row>
    <row r="927" spans="1:3" x14ac:dyDescent="0.25">
      <c r="A927" t="s">
        <v>4</v>
      </c>
      <c r="B927" t="s">
        <v>19</v>
      </c>
    </row>
    <row r="929" spans="1:3" x14ac:dyDescent="0.25">
      <c r="A929" t="s">
        <v>17</v>
      </c>
      <c r="B929" t="s">
        <v>22</v>
      </c>
      <c r="C929" t="str">
        <f>A929&amp;B929</f>
        <v>launch2.VBSscript3</v>
      </c>
    </row>
    <row r="931" spans="1:3" x14ac:dyDescent="0.25">
      <c r="A931" t="s">
        <v>2</v>
      </c>
      <c r="B931" t="s">
        <v>3</v>
      </c>
    </row>
    <row r="933" spans="1:3" x14ac:dyDescent="0.25">
      <c r="A933" t="s">
        <v>4</v>
      </c>
      <c r="B933" t="s">
        <v>6</v>
      </c>
    </row>
    <row r="935" spans="1:3" x14ac:dyDescent="0.25">
      <c r="A935" t="s">
        <v>2</v>
      </c>
      <c r="B935" t="s">
        <v>8</v>
      </c>
    </row>
    <row r="937" spans="1:3" x14ac:dyDescent="0.25">
      <c r="A937" t="s">
        <v>7</v>
      </c>
      <c r="B937" t="s">
        <v>1</v>
      </c>
      <c r="C937" t="str">
        <f>A937&amp;B937</f>
        <v>launch4.VBSscript9</v>
      </c>
    </row>
    <row r="939" spans="1:3" x14ac:dyDescent="0.25">
      <c r="A939" t="s">
        <v>10</v>
      </c>
      <c r="B939" t="s">
        <v>18</v>
      </c>
      <c r="C939" t="str">
        <f>A939&amp;B939</f>
        <v>launch5.VBSscript15</v>
      </c>
    </row>
    <row r="941" spans="1:3" x14ac:dyDescent="0.25">
      <c r="A941" t="s">
        <v>4</v>
      </c>
      <c r="B941" t="s">
        <v>9</v>
      </c>
    </row>
    <row r="943" spans="1:3" x14ac:dyDescent="0.25">
      <c r="A943" t="s">
        <v>2</v>
      </c>
      <c r="B943" t="s">
        <v>5</v>
      </c>
    </row>
    <row r="945" spans="1:3" x14ac:dyDescent="0.25">
      <c r="A945" t="s">
        <v>2</v>
      </c>
      <c r="B945" t="s">
        <v>15</v>
      </c>
    </row>
    <row r="947" spans="1:3" x14ac:dyDescent="0.25">
      <c r="A947" t="s">
        <v>4</v>
      </c>
      <c r="B947" t="s">
        <v>11</v>
      </c>
    </row>
    <row r="949" spans="1:3" x14ac:dyDescent="0.25">
      <c r="A949" t="s">
        <v>12</v>
      </c>
      <c r="B949" t="s">
        <v>21</v>
      </c>
      <c r="C949" t="str">
        <f>A949&amp;B949</f>
        <v>launch1.VBSscript12</v>
      </c>
    </row>
    <row r="951" spans="1:3" x14ac:dyDescent="0.25">
      <c r="A951" t="s">
        <v>4</v>
      </c>
      <c r="B951" t="s">
        <v>16</v>
      </c>
    </row>
    <row r="953" spans="1:3" x14ac:dyDescent="0.25">
      <c r="A953" t="s">
        <v>20</v>
      </c>
      <c r="B953" t="s">
        <v>14</v>
      </c>
      <c r="C953" t="str">
        <f>A953&amp;B953</f>
        <v>launch3.VBSscript6</v>
      </c>
    </row>
    <row r="955" spans="1:3" x14ac:dyDescent="0.25">
      <c r="A955" t="s">
        <v>2</v>
      </c>
      <c r="B955" t="s">
        <v>13</v>
      </c>
    </row>
    <row r="958" spans="1:3" x14ac:dyDescent="0.25">
      <c r="A958" t="s">
        <v>51</v>
      </c>
    </row>
    <row r="960" spans="1:3" x14ac:dyDescent="0.25">
      <c r="A960" t="s">
        <v>2</v>
      </c>
      <c r="B960" t="s">
        <v>8</v>
      </c>
    </row>
    <row r="962" spans="1:3" x14ac:dyDescent="0.25">
      <c r="A962" t="s">
        <v>20</v>
      </c>
      <c r="B962" t="s">
        <v>16</v>
      </c>
      <c r="C962" t="str">
        <f>A962&amp;B962</f>
        <v>launch3.VBSscript2</v>
      </c>
    </row>
    <row r="964" spans="1:3" x14ac:dyDescent="0.25">
      <c r="A964" t="s">
        <v>2</v>
      </c>
      <c r="B964" t="s">
        <v>13</v>
      </c>
    </row>
    <row r="966" spans="1:3" x14ac:dyDescent="0.25">
      <c r="A966" t="s">
        <v>2</v>
      </c>
      <c r="B966" t="s">
        <v>15</v>
      </c>
    </row>
    <row r="968" spans="1:3" x14ac:dyDescent="0.25">
      <c r="A968" t="s">
        <v>10</v>
      </c>
      <c r="B968" t="s">
        <v>19</v>
      </c>
      <c r="C968" t="str">
        <f>A968&amp;B968</f>
        <v>launch5.VBSscript5</v>
      </c>
    </row>
    <row r="970" spans="1:3" x14ac:dyDescent="0.25">
      <c r="A970" t="s">
        <v>2</v>
      </c>
      <c r="B970" t="s">
        <v>3</v>
      </c>
    </row>
    <row r="972" spans="1:3" x14ac:dyDescent="0.25">
      <c r="A972" t="s">
        <v>2</v>
      </c>
      <c r="B972" t="s">
        <v>5</v>
      </c>
    </row>
    <row r="974" spans="1:3" x14ac:dyDescent="0.25">
      <c r="A974" t="s">
        <v>4</v>
      </c>
      <c r="B974" t="s">
        <v>1</v>
      </c>
    </row>
    <row r="976" spans="1:3" x14ac:dyDescent="0.25">
      <c r="A976" t="s">
        <v>4</v>
      </c>
      <c r="B976" t="s">
        <v>21</v>
      </c>
    </row>
    <row r="978" spans="1:3" x14ac:dyDescent="0.25">
      <c r="A978" t="s">
        <v>17</v>
      </c>
      <c r="B978" t="s">
        <v>6</v>
      </c>
      <c r="C978" t="str">
        <f>A978&amp;B978</f>
        <v>launch2.VBSscript8</v>
      </c>
    </row>
    <row r="980" spans="1:3" x14ac:dyDescent="0.25">
      <c r="A980" t="s">
        <v>4</v>
      </c>
      <c r="B980" t="s">
        <v>22</v>
      </c>
    </row>
    <row r="982" spans="1:3" x14ac:dyDescent="0.25">
      <c r="A982" t="s">
        <v>7</v>
      </c>
      <c r="B982" t="s">
        <v>9</v>
      </c>
      <c r="C982" t="str">
        <f>A982&amp;B982</f>
        <v>launch4.VBSscript14</v>
      </c>
    </row>
    <row r="984" spans="1:3" x14ac:dyDescent="0.25">
      <c r="A984" t="s">
        <v>12</v>
      </c>
      <c r="B984" t="s">
        <v>11</v>
      </c>
      <c r="C984" t="str">
        <f>A984&amp;B984</f>
        <v>launch1.VBSscript11</v>
      </c>
    </row>
    <row r="986" spans="1:3" x14ac:dyDescent="0.25">
      <c r="A986" t="s">
        <v>4</v>
      </c>
      <c r="B986" t="s">
        <v>18</v>
      </c>
    </row>
    <row r="988" spans="1:3" x14ac:dyDescent="0.25">
      <c r="A988" t="s">
        <v>4</v>
      </c>
      <c r="B988" t="s">
        <v>14</v>
      </c>
    </row>
    <row r="991" spans="1:3" x14ac:dyDescent="0.25">
      <c r="A991" t="s">
        <v>52</v>
      </c>
    </row>
    <row r="993" spans="1:3" x14ac:dyDescent="0.25">
      <c r="A993" t="s">
        <v>4</v>
      </c>
      <c r="B993" t="s">
        <v>8</v>
      </c>
    </row>
    <row r="995" spans="1:3" x14ac:dyDescent="0.25">
      <c r="A995" t="s">
        <v>10</v>
      </c>
      <c r="B995" t="s">
        <v>11</v>
      </c>
      <c r="C995" t="str">
        <f>A995&amp;B995</f>
        <v>launch5.VBSscript11</v>
      </c>
    </row>
    <row r="997" spans="1:3" x14ac:dyDescent="0.25">
      <c r="A997" t="s">
        <v>2</v>
      </c>
      <c r="B997" t="s">
        <v>22</v>
      </c>
    </row>
    <row r="999" spans="1:3" x14ac:dyDescent="0.25">
      <c r="A999" t="s">
        <v>20</v>
      </c>
      <c r="B999" t="s">
        <v>16</v>
      </c>
      <c r="C999" t="str">
        <f>A999&amp;B999</f>
        <v>launch3.VBSscript2</v>
      </c>
    </row>
    <row r="1001" spans="1:3" x14ac:dyDescent="0.25">
      <c r="A1001" t="s">
        <v>2</v>
      </c>
      <c r="B1001" t="s">
        <v>21</v>
      </c>
    </row>
    <row r="1003" spans="1:3" x14ac:dyDescent="0.25">
      <c r="A1003" t="s">
        <v>4</v>
      </c>
      <c r="B1003" t="s">
        <v>15</v>
      </c>
    </row>
    <row r="1005" spans="1:3" x14ac:dyDescent="0.25">
      <c r="A1005" t="s">
        <v>4</v>
      </c>
      <c r="B1005" t="s">
        <v>3</v>
      </c>
    </row>
    <row r="1007" spans="1:3" x14ac:dyDescent="0.25">
      <c r="A1007" t="s">
        <v>17</v>
      </c>
      <c r="B1007" t="s">
        <v>19</v>
      </c>
      <c r="C1007" t="str">
        <f>A1007&amp;B1007</f>
        <v>launch2.VBSscript5</v>
      </c>
    </row>
    <row r="1009" spans="1:3" x14ac:dyDescent="0.25">
      <c r="A1009" t="s">
        <v>12</v>
      </c>
      <c r="B1009" t="s">
        <v>9</v>
      </c>
      <c r="C1009" t="str">
        <f>A1009&amp;B1009</f>
        <v>launch1.VBSscript14</v>
      </c>
    </row>
    <row r="1011" spans="1:3" x14ac:dyDescent="0.25">
      <c r="A1011" t="s">
        <v>7</v>
      </c>
      <c r="B1011" t="s">
        <v>6</v>
      </c>
      <c r="C1011" t="str">
        <f>A1011&amp;B1011</f>
        <v>launch4.VBSscript8</v>
      </c>
    </row>
    <row r="1013" spans="1:3" x14ac:dyDescent="0.25">
      <c r="A1013" t="s">
        <v>4</v>
      </c>
      <c r="B1013" t="s">
        <v>13</v>
      </c>
    </row>
    <row r="1015" spans="1:3" x14ac:dyDescent="0.25">
      <c r="A1015" t="s">
        <v>2</v>
      </c>
      <c r="B1015" t="s">
        <v>18</v>
      </c>
    </row>
    <row r="1017" spans="1:3" x14ac:dyDescent="0.25">
      <c r="A1017" t="s">
        <v>2</v>
      </c>
      <c r="B1017" t="s">
        <v>14</v>
      </c>
    </row>
    <row r="1019" spans="1:3" x14ac:dyDescent="0.25">
      <c r="A1019" t="s">
        <v>2</v>
      </c>
      <c r="B1019" t="s">
        <v>1</v>
      </c>
    </row>
    <row r="1021" spans="1:3" x14ac:dyDescent="0.25">
      <c r="A1021" t="s">
        <v>4</v>
      </c>
      <c r="B1021" t="s">
        <v>5</v>
      </c>
    </row>
    <row r="1024" spans="1:3" x14ac:dyDescent="0.25">
      <c r="A1024" t="s">
        <v>53</v>
      </c>
    </row>
    <row r="1026" spans="1:3" x14ac:dyDescent="0.25">
      <c r="A1026" t="s">
        <v>10</v>
      </c>
      <c r="B1026" t="s">
        <v>18</v>
      </c>
      <c r="C1026" t="str">
        <f>A1026&amp;B1026</f>
        <v>launch5.VBSscript15</v>
      </c>
    </row>
    <row r="1028" spans="1:3" x14ac:dyDescent="0.25">
      <c r="A1028" t="s">
        <v>2</v>
      </c>
      <c r="B1028" t="s">
        <v>19</v>
      </c>
    </row>
    <row r="1030" spans="1:3" x14ac:dyDescent="0.25">
      <c r="A1030" t="s">
        <v>20</v>
      </c>
      <c r="B1030" t="s">
        <v>22</v>
      </c>
      <c r="C1030" t="str">
        <f>A1030&amp;B1030</f>
        <v>launch3.VBSscript3</v>
      </c>
    </row>
    <row r="1032" spans="1:3" x14ac:dyDescent="0.25">
      <c r="A1032" t="s">
        <v>2</v>
      </c>
      <c r="B1032" t="s">
        <v>9</v>
      </c>
    </row>
    <row r="1034" spans="1:3" x14ac:dyDescent="0.25">
      <c r="A1034" t="s">
        <v>17</v>
      </c>
      <c r="B1034" t="s">
        <v>1</v>
      </c>
      <c r="C1034" t="str">
        <f>A1034&amp;B1034</f>
        <v>launch2.VBSscript9</v>
      </c>
    </row>
    <row r="1036" spans="1:3" x14ac:dyDescent="0.25">
      <c r="A1036" t="s">
        <v>4</v>
      </c>
      <c r="B1036" t="s">
        <v>3</v>
      </c>
    </row>
    <row r="1038" spans="1:3" x14ac:dyDescent="0.25">
      <c r="A1038" t="s">
        <v>4</v>
      </c>
      <c r="B1038" t="s">
        <v>13</v>
      </c>
    </row>
    <row r="1040" spans="1:3" x14ac:dyDescent="0.25">
      <c r="A1040" t="s">
        <v>2</v>
      </c>
      <c r="B1040" t="s">
        <v>16</v>
      </c>
    </row>
    <row r="1042" spans="1:3" x14ac:dyDescent="0.25">
      <c r="A1042" t="s">
        <v>4</v>
      </c>
      <c r="B1042" t="s">
        <v>8</v>
      </c>
    </row>
    <row r="1044" spans="1:3" x14ac:dyDescent="0.25">
      <c r="A1044" t="s">
        <v>7</v>
      </c>
      <c r="B1044" t="s">
        <v>14</v>
      </c>
      <c r="C1044" t="str">
        <f>A1044&amp;B1044</f>
        <v>launch4.VBSscript6</v>
      </c>
    </row>
    <row r="1046" spans="1:3" x14ac:dyDescent="0.25">
      <c r="A1046" t="s">
        <v>4</v>
      </c>
      <c r="B1046" t="s">
        <v>5</v>
      </c>
    </row>
    <row r="1048" spans="1:3" x14ac:dyDescent="0.25">
      <c r="A1048" t="s">
        <v>12</v>
      </c>
      <c r="B1048" t="s">
        <v>21</v>
      </c>
      <c r="C1048" t="str">
        <f>A1048&amp;B1048</f>
        <v>launch1.VBSscript12</v>
      </c>
    </row>
    <row r="1050" spans="1:3" x14ac:dyDescent="0.25">
      <c r="A1050" t="s">
        <v>2</v>
      </c>
      <c r="B1050" t="s">
        <v>6</v>
      </c>
    </row>
    <row r="1052" spans="1:3" x14ac:dyDescent="0.25">
      <c r="A1052" t="s">
        <v>2</v>
      </c>
      <c r="B1052" t="s">
        <v>11</v>
      </c>
    </row>
    <row r="1054" spans="1:3" x14ac:dyDescent="0.25">
      <c r="A1054" t="s">
        <v>4</v>
      </c>
      <c r="B1054" t="s">
        <v>15</v>
      </c>
    </row>
    <row r="1057" spans="1:3" x14ac:dyDescent="0.25">
      <c r="A1057" t="s">
        <v>54</v>
      </c>
    </row>
    <row r="1059" spans="1:3" x14ac:dyDescent="0.25">
      <c r="A1059" t="s">
        <v>12</v>
      </c>
      <c r="B1059" t="s">
        <v>8</v>
      </c>
      <c r="C1059" t="str">
        <f>A1059&amp;B1059</f>
        <v>launch1.VBSscript4</v>
      </c>
    </row>
    <row r="1061" spans="1:3" x14ac:dyDescent="0.25">
      <c r="A1061" t="s">
        <v>10</v>
      </c>
      <c r="B1061" t="s">
        <v>5</v>
      </c>
      <c r="C1061" t="str">
        <f>A1061&amp;B1061</f>
        <v>launch5.VBSscript13</v>
      </c>
    </row>
    <row r="1063" spans="1:3" x14ac:dyDescent="0.25">
      <c r="A1063" t="s">
        <v>4</v>
      </c>
      <c r="B1063" t="s">
        <v>6</v>
      </c>
    </row>
    <row r="1065" spans="1:3" x14ac:dyDescent="0.25">
      <c r="A1065" t="s">
        <v>17</v>
      </c>
      <c r="B1065" t="s">
        <v>3</v>
      </c>
      <c r="C1065" t="str">
        <f>A1065&amp;B1065</f>
        <v>launch2.VBSscript7</v>
      </c>
    </row>
    <row r="1067" spans="1:3" x14ac:dyDescent="0.25">
      <c r="A1067" t="s">
        <v>2</v>
      </c>
      <c r="B1067" t="s">
        <v>21</v>
      </c>
    </row>
    <row r="1069" spans="1:3" x14ac:dyDescent="0.25">
      <c r="A1069" t="s">
        <v>4</v>
      </c>
      <c r="B1069" t="s">
        <v>19</v>
      </c>
    </row>
    <row r="1071" spans="1:3" x14ac:dyDescent="0.25">
      <c r="A1071" t="s">
        <v>20</v>
      </c>
      <c r="B1071" t="s">
        <v>15</v>
      </c>
      <c r="C1071" t="str">
        <f>A1071&amp;B1071</f>
        <v>launch3.VBSscript1</v>
      </c>
    </row>
    <row r="1073" spans="1:3" x14ac:dyDescent="0.25">
      <c r="A1073" t="s">
        <v>4</v>
      </c>
      <c r="B1073" t="s">
        <v>11</v>
      </c>
    </row>
    <row r="1075" spans="1:3" x14ac:dyDescent="0.25">
      <c r="A1075" t="s">
        <v>4</v>
      </c>
      <c r="B1075" t="s">
        <v>9</v>
      </c>
    </row>
    <row r="1077" spans="1:3" x14ac:dyDescent="0.25">
      <c r="A1077" t="s">
        <v>7</v>
      </c>
      <c r="B1077" t="s">
        <v>13</v>
      </c>
      <c r="C1077" t="str">
        <f>A1077&amp;B1077</f>
        <v>launch4.VBSscript10</v>
      </c>
    </row>
    <row r="1079" spans="1:3" x14ac:dyDescent="0.25">
      <c r="A1079" t="s">
        <v>2</v>
      </c>
      <c r="B1079" t="s">
        <v>1</v>
      </c>
    </row>
    <row r="1081" spans="1:3" x14ac:dyDescent="0.25">
      <c r="A1081" t="s">
        <v>2</v>
      </c>
      <c r="B1081" t="s">
        <v>18</v>
      </c>
    </row>
    <row r="1083" spans="1:3" x14ac:dyDescent="0.25">
      <c r="A1083" t="s">
        <v>2</v>
      </c>
      <c r="B1083" t="s">
        <v>22</v>
      </c>
    </row>
    <row r="1085" spans="1:3" x14ac:dyDescent="0.25">
      <c r="A1085" t="s">
        <v>2</v>
      </c>
      <c r="B1085" t="s">
        <v>14</v>
      </c>
    </row>
    <row r="1087" spans="1:3" x14ac:dyDescent="0.25">
      <c r="A1087" t="s">
        <v>4</v>
      </c>
      <c r="B1087" t="s">
        <v>16</v>
      </c>
    </row>
    <row r="1090" spans="1:3" x14ac:dyDescent="0.25">
      <c r="A1090" t="s">
        <v>55</v>
      </c>
    </row>
    <row r="1092" spans="1:3" x14ac:dyDescent="0.25">
      <c r="A1092" t="s">
        <v>2</v>
      </c>
      <c r="B1092" t="s">
        <v>19</v>
      </c>
    </row>
    <row r="1094" spans="1:3" x14ac:dyDescent="0.25">
      <c r="A1094" t="s">
        <v>4</v>
      </c>
      <c r="B1094" t="s">
        <v>18</v>
      </c>
    </row>
    <row r="1096" spans="1:3" x14ac:dyDescent="0.25">
      <c r="A1096" t="s">
        <v>2</v>
      </c>
      <c r="B1096" t="s">
        <v>6</v>
      </c>
    </row>
    <row r="1098" spans="1:3" x14ac:dyDescent="0.25">
      <c r="A1098" t="s">
        <v>17</v>
      </c>
      <c r="B1098" t="s">
        <v>5</v>
      </c>
      <c r="C1098" t="str">
        <f>A1098&amp;B1098</f>
        <v>launch2.VBSscript13</v>
      </c>
    </row>
    <row r="1100" spans="1:3" x14ac:dyDescent="0.25">
      <c r="A1100" t="s">
        <v>2</v>
      </c>
      <c r="B1100" t="s">
        <v>16</v>
      </c>
    </row>
    <row r="1102" spans="1:3" x14ac:dyDescent="0.25">
      <c r="A1102" t="s">
        <v>4</v>
      </c>
      <c r="B1102" t="s">
        <v>14</v>
      </c>
    </row>
    <row r="1104" spans="1:3" x14ac:dyDescent="0.25">
      <c r="A1104" t="s">
        <v>2</v>
      </c>
      <c r="B1104" t="s">
        <v>11</v>
      </c>
    </row>
    <row r="1106" spans="1:3" x14ac:dyDescent="0.25">
      <c r="A1106" t="s">
        <v>4</v>
      </c>
      <c r="B1106" t="s">
        <v>21</v>
      </c>
    </row>
    <row r="1108" spans="1:3" x14ac:dyDescent="0.25">
      <c r="A1108" t="s">
        <v>10</v>
      </c>
      <c r="B1108" t="s">
        <v>3</v>
      </c>
      <c r="C1108" t="str">
        <f>A1108&amp;B1108</f>
        <v>launch5.VBSscript7</v>
      </c>
    </row>
    <row r="1110" spans="1:3" x14ac:dyDescent="0.25">
      <c r="A1110" t="s">
        <v>20</v>
      </c>
      <c r="B1110" t="s">
        <v>13</v>
      </c>
      <c r="C1110" t="str">
        <f>A1110&amp;B1110</f>
        <v>launch3.VBSscript10</v>
      </c>
    </row>
    <row r="1112" spans="1:3" x14ac:dyDescent="0.25">
      <c r="A1112" t="s">
        <v>2</v>
      </c>
      <c r="B1112" t="s">
        <v>9</v>
      </c>
    </row>
    <row r="1114" spans="1:3" x14ac:dyDescent="0.25">
      <c r="A1114" t="s">
        <v>7</v>
      </c>
      <c r="B1114" t="s">
        <v>15</v>
      </c>
      <c r="C1114" t="str">
        <f>A1114&amp;B1114</f>
        <v>launch4.VBSscript1</v>
      </c>
    </row>
    <row r="1116" spans="1:3" x14ac:dyDescent="0.25">
      <c r="A1116" t="s">
        <v>4</v>
      </c>
      <c r="B1116" t="s">
        <v>22</v>
      </c>
    </row>
    <row r="1118" spans="1:3" x14ac:dyDescent="0.25">
      <c r="A1118" t="s">
        <v>12</v>
      </c>
      <c r="B1118" t="s">
        <v>8</v>
      </c>
      <c r="C1118" t="str">
        <f>A1118&amp;B1118</f>
        <v>launch1.VBSscript4</v>
      </c>
    </row>
    <row r="1120" spans="1:3" x14ac:dyDescent="0.25">
      <c r="A1120" t="s">
        <v>4</v>
      </c>
      <c r="B1120" t="s">
        <v>1</v>
      </c>
    </row>
    <row r="1123" spans="1:3" x14ac:dyDescent="0.25">
      <c r="A1123" t="s">
        <v>56</v>
      </c>
    </row>
    <row r="1125" spans="1:3" x14ac:dyDescent="0.25">
      <c r="A1125" t="s">
        <v>20</v>
      </c>
      <c r="B1125" t="s">
        <v>13</v>
      </c>
      <c r="C1125" t="str">
        <f>A1125&amp;B1125</f>
        <v>launch3.VBSscript10</v>
      </c>
    </row>
    <row r="1127" spans="1:3" x14ac:dyDescent="0.25">
      <c r="A1127" t="s">
        <v>4</v>
      </c>
      <c r="B1127" t="s">
        <v>14</v>
      </c>
    </row>
    <row r="1129" spans="1:3" x14ac:dyDescent="0.25">
      <c r="A1129" t="s">
        <v>4</v>
      </c>
      <c r="B1129" t="s">
        <v>22</v>
      </c>
    </row>
    <row r="1131" spans="1:3" x14ac:dyDescent="0.25">
      <c r="A1131" t="s">
        <v>4</v>
      </c>
      <c r="B1131" t="s">
        <v>1</v>
      </c>
    </row>
    <row r="1133" spans="1:3" x14ac:dyDescent="0.25">
      <c r="A1133" t="s">
        <v>2</v>
      </c>
      <c r="B1133" t="s">
        <v>9</v>
      </c>
    </row>
    <row r="1135" spans="1:3" x14ac:dyDescent="0.25">
      <c r="A1135" t="s">
        <v>12</v>
      </c>
      <c r="B1135" t="s">
        <v>8</v>
      </c>
      <c r="C1135" t="str">
        <f>A1135&amp;B1135</f>
        <v>launch1.VBSscript4</v>
      </c>
    </row>
    <row r="1137" spans="1:3" x14ac:dyDescent="0.25">
      <c r="A1137" t="s">
        <v>2</v>
      </c>
      <c r="B1137" t="s">
        <v>6</v>
      </c>
    </row>
    <row r="1139" spans="1:3" x14ac:dyDescent="0.25">
      <c r="A1139" t="s">
        <v>4</v>
      </c>
      <c r="B1139" t="s">
        <v>21</v>
      </c>
    </row>
    <row r="1141" spans="1:3" x14ac:dyDescent="0.25">
      <c r="A1141" t="s">
        <v>2</v>
      </c>
      <c r="B1141" t="s">
        <v>11</v>
      </c>
    </row>
    <row r="1143" spans="1:3" x14ac:dyDescent="0.25">
      <c r="A1143" t="s">
        <v>17</v>
      </c>
      <c r="B1143" t="s">
        <v>5</v>
      </c>
      <c r="C1143" t="str">
        <f>A1143&amp;B1143</f>
        <v>launch2.VBSscript13</v>
      </c>
    </row>
    <row r="1145" spans="1:3" x14ac:dyDescent="0.25">
      <c r="A1145" t="s">
        <v>2</v>
      </c>
      <c r="B1145" t="s">
        <v>19</v>
      </c>
    </row>
    <row r="1147" spans="1:3" x14ac:dyDescent="0.25">
      <c r="A1147" t="s">
        <v>2</v>
      </c>
      <c r="B1147" t="s">
        <v>16</v>
      </c>
    </row>
    <row r="1149" spans="1:3" x14ac:dyDescent="0.25">
      <c r="A1149" t="s">
        <v>7</v>
      </c>
      <c r="B1149" t="s">
        <v>3</v>
      </c>
      <c r="C1149" t="str">
        <f>A1149&amp;B1149</f>
        <v>launch4.VBSscript7</v>
      </c>
    </row>
    <row r="1151" spans="1:3" x14ac:dyDescent="0.25">
      <c r="A1151" t="s">
        <v>10</v>
      </c>
      <c r="B1151" t="s">
        <v>15</v>
      </c>
      <c r="C1151" t="str">
        <f>A1151&amp;B1151</f>
        <v>launch5.VBSscript1</v>
      </c>
    </row>
    <row r="1153" spans="1:3" x14ac:dyDescent="0.25">
      <c r="A1153" t="s">
        <v>4</v>
      </c>
      <c r="B1153" t="s">
        <v>18</v>
      </c>
    </row>
    <row r="1156" spans="1:3" x14ac:dyDescent="0.25">
      <c r="A1156" t="s">
        <v>57</v>
      </c>
    </row>
    <row r="1158" spans="1:3" x14ac:dyDescent="0.25">
      <c r="A1158" t="s">
        <v>2</v>
      </c>
      <c r="B1158" t="s">
        <v>5</v>
      </c>
    </row>
    <row r="1160" spans="1:3" x14ac:dyDescent="0.25">
      <c r="A1160" t="s">
        <v>4</v>
      </c>
      <c r="B1160" t="s">
        <v>16</v>
      </c>
    </row>
    <row r="1162" spans="1:3" x14ac:dyDescent="0.25">
      <c r="A1162" t="s">
        <v>4</v>
      </c>
      <c r="B1162" t="s">
        <v>9</v>
      </c>
    </row>
    <row r="1164" spans="1:3" x14ac:dyDescent="0.25">
      <c r="A1164" t="s">
        <v>2</v>
      </c>
      <c r="B1164" t="s">
        <v>13</v>
      </c>
    </row>
    <row r="1166" spans="1:3" x14ac:dyDescent="0.25">
      <c r="A1166" t="s">
        <v>20</v>
      </c>
      <c r="B1166" t="s">
        <v>1</v>
      </c>
      <c r="C1166" t="str">
        <f>A1166&amp;B1166</f>
        <v>launch3.VBSscript9</v>
      </c>
    </row>
    <row r="1168" spans="1:3" x14ac:dyDescent="0.25">
      <c r="A1168" t="s">
        <v>2</v>
      </c>
      <c r="B1168" t="s">
        <v>3</v>
      </c>
    </row>
    <row r="1170" spans="1:3" x14ac:dyDescent="0.25">
      <c r="A1170" t="s">
        <v>4</v>
      </c>
      <c r="B1170" t="s">
        <v>11</v>
      </c>
    </row>
    <row r="1172" spans="1:3" x14ac:dyDescent="0.25">
      <c r="A1172" t="s">
        <v>7</v>
      </c>
      <c r="B1172" t="s">
        <v>22</v>
      </c>
      <c r="C1172" t="str">
        <f>A1172&amp;B1172</f>
        <v>launch4.VBSscript3</v>
      </c>
    </row>
    <row r="1174" spans="1:3" x14ac:dyDescent="0.25">
      <c r="A1174" t="s">
        <v>10</v>
      </c>
      <c r="B1174" t="s">
        <v>18</v>
      </c>
      <c r="C1174" t="str">
        <f>A1174&amp;B1174</f>
        <v>launch5.VBSscript15</v>
      </c>
    </row>
    <row r="1176" spans="1:3" x14ac:dyDescent="0.25">
      <c r="A1176" t="s">
        <v>2</v>
      </c>
      <c r="B1176" t="s">
        <v>15</v>
      </c>
    </row>
    <row r="1178" spans="1:3" x14ac:dyDescent="0.25">
      <c r="A1178" t="s">
        <v>17</v>
      </c>
      <c r="B1178" t="s">
        <v>14</v>
      </c>
      <c r="C1178" t="str">
        <f>A1178&amp;B1178</f>
        <v>launch2.VBSscript6</v>
      </c>
    </row>
    <row r="1180" spans="1:3" x14ac:dyDescent="0.25">
      <c r="A1180" t="s">
        <v>4</v>
      </c>
      <c r="B1180" t="s">
        <v>19</v>
      </c>
    </row>
    <row r="1182" spans="1:3" x14ac:dyDescent="0.25">
      <c r="A1182" t="s">
        <v>4</v>
      </c>
      <c r="B1182" t="s">
        <v>6</v>
      </c>
    </row>
    <row r="1184" spans="1:3" x14ac:dyDescent="0.25">
      <c r="A1184" t="s">
        <v>2</v>
      </c>
      <c r="B1184" t="s">
        <v>8</v>
      </c>
    </row>
    <row r="1186" spans="1:3" x14ac:dyDescent="0.25">
      <c r="A1186" t="s">
        <v>12</v>
      </c>
      <c r="B1186" t="s">
        <v>21</v>
      </c>
      <c r="C1186" t="str">
        <f>A1186&amp;B1186</f>
        <v>launch1.VBSscript12</v>
      </c>
    </row>
    <row r="1189" spans="1:3" x14ac:dyDescent="0.25">
      <c r="A1189" t="s">
        <v>58</v>
      </c>
    </row>
    <row r="1191" spans="1:3" x14ac:dyDescent="0.25">
      <c r="A1191" t="s">
        <v>17</v>
      </c>
      <c r="B1191" t="s">
        <v>6</v>
      </c>
      <c r="C1191" t="str">
        <f>A1191&amp;B1191</f>
        <v>launch2.VBSscript8</v>
      </c>
    </row>
    <row r="1193" spans="1:3" x14ac:dyDescent="0.25">
      <c r="A1193" t="s">
        <v>4</v>
      </c>
      <c r="B1193" t="s">
        <v>18</v>
      </c>
    </row>
    <row r="1195" spans="1:3" x14ac:dyDescent="0.25">
      <c r="A1195" t="s">
        <v>2</v>
      </c>
      <c r="B1195" t="s">
        <v>8</v>
      </c>
    </row>
    <row r="1197" spans="1:3" x14ac:dyDescent="0.25">
      <c r="A1197" t="s">
        <v>7</v>
      </c>
      <c r="B1197" t="s">
        <v>11</v>
      </c>
      <c r="C1197" t="str">
        <f>A1197&amp;B1197</f>
        <v>launch4.VBSscript11</v>
      </c>
    </row>
    <row r="1199" spans="1:3" x14ac:dyDescent="0.25">
      <c r="A1199" t="s">
        <v>10</v>
      </c>
      <c r="B1199" t="s">
        <v>19</v>
      </c>
      <c r="C1199" t="str">
        <f>A1199&amp;B1199</f>
        <v>launch5.VBSscript5</v>
      </c>
    </row>
    <row r="1201" spans="1:3" x14ac:dyDescent="0.25">
      <c r="A1201" t="s">
        <v>2</v>
      </c>
      <c r="B1201" t="s">
        <v>3</v>
      </c>
    </row>
    <row r="1203" spans="1:3" x14ac:dyDescent="0.25">
      <c r="A1203" t="s">
        <v>2</v>
      </c>
      <c r="B1203" t="s">
        <v>15</v>
      </c>
    </row>
    <row r="1205" spans="1:3" x14ac:dyDescent="0.25">
      <c r="A1205" t="s">
        <v>20</v>
      </c>
      <c r="B1205" t="s">
        <v>16</v>
      </c>
      <c r="C1205" t="str">
        <f>A1205&amp;B1205</f>
        <v>launch3.VBSscript2</v>
      </c>
    </row>
    <row r="1207" spans="1:3" x14ac:dyDescent="0.25">
      <c r="A1207" t="s">
        <v>4</v>
      </c>
      <c r="B1207" t="s">
        <v>22</v>
      </c>
    </row>
    <row r="1209" spans="1:3" x14ac:dyDescent="0.25">
      <c r="A1209" t="s">
        <v>2</v>
      </c>
      <c r="B1209" t="s">
        <v>13</v>
      </c>
    </row>
    <row r="1211" spans="1:3" x14ac:dyDescent="0.25">
      <c r="A1211" t="s">
        <v>2</v>
      </c>
      <c r="B1211" t="s">
        <v>5</v>
      </c>
    </row>
    <row r="1213" spans="1:3" x14ac:dyDescent="0.25">
      <c r="A1213" t="s">
        <v>12</v>
      </c>
      <c r="B1213" t="s">
        <v>9</v>
      </c>
      <c r="C1213" t="str">
        <f>A1213&amp;B1213</f>
        <v>launch1.VBSscript14</v>
      </c>
    </row>
    <row r="1215" spans="1:3" x14ac:dyDescent="0.25">
      <c r="A1215" t="s">
        <v>4</v>
      </c>
      <c r="B1215" t="s">
        <v>14</v>
      </c>
    </row>
    <row r="1217" spans="1:3" x14ac:dyDescent="0.25">
      <c r="A1217" t="s">
        <v>4</v>
      </c>
      <c r="B1217" t="s">
        <v>21</v>
      </c>
    </row>
    <row r="1219" spans="1:3" x14ac:dyDescent="0.25">
      <c r="A1219" t="s">
        <v>4</v>
      </c>
      <c r="B1219" t="s">
        <v>1</v>
      </c>
    </row>
    <row r="1222" spans="1:3" x14ac:dyDescent="0.25">
      <c r="A1222" t="s">
        <v>59</v>
      </c>
    </row>
    <row r="1224" spans="1:3" x14ac:dyDescent="0.25">
      <c r="A1224" t="s">
        <v>4</v>
      </c>
      <c r="B1224" t="s">
        <v>15</v>
      </c>
    </row>
    <row r="1226" spans="1:3" x14ac:dyDescent="0.25">
      <c r="A1226" t="s">
        <v>20</v>
      </c>
      <c r="B1226" t="s">
        <v>9</v>
      </c>
      <c r="C1226" t="str">
        <f>A1226&amp;B1226</f>
        <v>launch3.VBSscript14</v>
      </c>
    </row>
    <row r="1228" spans="1:3" x14ac:dyDescent="0.25">
      <c r="A1228" t="s">
        <v>4</v>
      </c>
      <c r="B1228" t="s">
        <v>3</v>
      </c>
    </row>
    <row r="1230" spans="1:3" x14ac:dyDescent="0.25">
      <c r="A1230" t="s">
        <v>2</v>
      </c>
      <c r="B1230" t="s">
        <v>14</v>
      </c>
    </row>
    <row r="1232" spans="1:3" x14ac:dyDescent="0.25">
      <c r="A1232" t="s">
        <v>2</v>
      </c>
      <c r="B1232" t="s">
        <v>1</v>
      </c>
    </row>
    <row r="1234" spans="1:3" x14ac:dyDescent="0.25">
      <c r="A1234" t="s">
        <v>2</v>
      </c>
      <c r="B1234" t="s">
        <v>22</v>
      </c>
    </row>
    <row r="1236" spans="1:3" x14ac:dyDescent="0.25">
      <c r="A1236" t="s">
        <v>2</v>
      </c>
      <c r="B1236" t="s">
        <v>18</v>
      </c>
    </row>
    <row r="1238" spans="1:3" x14ac:dyDescent="0.25">
      <c r="A1238" t="s">
        <v>7</v>
      </c>
      <c r="B1238" t="s">
        <v>19</v>
      </c>
      <c r="C1238" t="str">
        <f>A1238&amp;B1238</f>
        <v>launch4.VBSscript5</v>
      </c>
    </row>
    <row r="1240" spans="1:3" x14ac:dyDescent="0.25">
      <c r="A1240" t="s">
        <v>12</v>
      </c>
      <c r="B1240" t="s">
        <v>11</v>
      </c>
      <c r="C1240" t="str">
        <f>A1240&amp;B1240</f>
        <v>launch1.VBSscript11</v>
      </c>
    </row>
    <row r="1242" spans="1:3" x14ac:dyDescent="0.25">
      <c r="A1242" t="s">
        <v>10</v>
      </c>
      <c r="B1242" t="s">
        <v>16</v>
      </c>
      <c r="C1242" t="str">
        <f>A1242&amp;B1242</f>
        <v>launch5.VBSscript2</v>
      </c>
    </row>
    <row r="1244" spans="1:3" x14ac:dyDescent="0.25">
      <c r="A1244" t="s">
        <v>4</v>
      </c>
      <c r="B1244" t="s">
        <v>5</v>
      </c>
    </row>
    <row r="1246" spans="1:3" x14ac:dyDescent="0.25">
      <c r="A1246" t="s">
        <v>17</v>
      </c>
      <c r="B1246" t="s">
        <v>6</v>
      </c>
      <c r="C1246" t="str">
        <f>A1246&amp;B1246</f>
        <v>launch2.VBSscript8</v>
      </c>
    </row>
    <row r="1248" spans="1:3" x14ac:dyDescent="0.25">
      <c r="A1248" t="s">
        <v>4</v>
      </c>
      <c r="B1248" t="s">
        <v>13</v>
      </c>
    </row>
    <row r="1250" spans="1:3" x14ac:dyDescent="0.25">
      <c r="A1250" t="s">
        <v>4</v>
      </c>
      <c r="B1250" t="s">
        <v>8</v>
      </c>
    </row>
    <row r="1252" spans="1:3" x14ac:dyDescent="0.25">
      <c r="A1252" t="s">
        <v>2</v>
      </c>
      <c r="B1252" t="s">
        <v>21</v>
      </c>
    </row>
    <row r="1255" spans="1:3" x14ac:dyDescent="0.25">
      <c r="A1255" t="s">
        <v>60</v>
      </c>
    </row>
    <row r="1257" spans="1:3" x14ac:dyDescent="0.25">
      <c r="A1257" t="s">
        <v>10</v>
      </c>
      <c r="B1257" t="s">
        <v>1</v>
      </c>
      <c r="C1257" t="str">
        <f>A1257&amp;B1257</f>
        <v>launch5.VBSscript9</v>
      </c>
    </row>
    <row r="1259" spans="1:3" x14ac:dyDescent="0.25">
      <c r="A1259" t="s">
        <v>12</v>
      </c>
      <c r="B1259" t="s">
        <v>21</v>
      </c>
      <c r="C1259" t="str">
        <f>A1259&amp;B1259</f>
        <v>launch1.VBSscript12</v>
      </c>
    </row>
    <row r="1261" spans="1:3" x14ac:dyDescent="0.25">
      <c r="A1261" t="s">
        <v>4</v>
      </c>
      <c r="B1261" t="s">
        <v>8</v>
      </c>
    </row>
    <row r="1263" spans="1:3" x14ac:dyDescent="0.25">
      <c r="A1263" t="s">
        <v>4</v>
      </c>
      <c r="B1263" t="s">
        <v>3</v>
      </c>
    </row>
    <row r="1265" spans="1:3" x14ac:dyDescent="0.25">
      <c r="A1265" t="s">
        <v>2</v>
      </c>
      <c r="B1265" t="s">
        <v>16</v>
      </c>
    </row>
    <row r="1267" spans="1:3" x14ac:dyDescent="0.25">
      <c r="A1267" t="s">
        <v>2</v>
      </c>
      <c r="B1267" t="s">
        <v>9</v>
      </c>
    </row>
    <row r="1269" spans="1:3" x14ac:dyDescent="0.25">
      <c r="A1269" t="s">
        <v>20</v>
      </c>
      <c r="B1269" t="s">
        <v>14</v>
      </c>
      <c r="C1269" t="str">
        <f>A1269&amp;B1269</f>
        <v>launch3.VBSscript6</v>
      </c>
    </row>
    <row r="1271" spans="1:3" x14ac:dyDescent="0.25">
      <c r="A1271" t="s">
        <v>2</v>
      </c>
      <c r="B1271" t="s">
        <v>11</v>
      </c>
    </row>
    <row r="1273" spans="1:3" x14ac:dyDescent="0.25">
      <c r="A1273" t="s">
        <v>7</v>
      </c>
      <c r="B1273" t="s">
        <v>18</v>
      </c>
      <c r="C1273" t="str">
        <f>A1273&amp;B1273</f>
        <v>launch4.VBSscript15</v>
      </c>
    </row>
    <row r="1275" spans="1:3" x14ac:dyDescent="0.25">
      <c r="A1275" t="s">
        <v>2</v>
      </c>
      <c r="B1275" t="s">
        <v>6</v>
      </c>
    </row>
    <row r="1277" spans="1:3" x14ac:dyDescent="0.25">
      <c r="A1277" t="s">
        <v>4</v>
      </c>
      <c r="B1277" t="s">
        <v>5</v>
      </c>
    </row>
    <row r="1279" spans="1:3" x14ac:dyDescent="0.25">
      <c r="A1279" t="s">
        <v>17</v>
      </c>
      <c r="B1279" t="s">
        <v>22</v>
      </c>
      <c r="C1279" t="str">
        <f>A1279&amp;B1279</f>
        <v>launch2.VBSscript3</v>
      </c>
    </row>
    <row r="1281" spans="1:3" x14ac:dyDescent="0.25">
      <c r="A1281" t="s">
        <v>4</v>
      </c>
      <c r="B1281" t="s">
        <v>13</v>
      </c>
    </row>
    <row r="1283" spans="1:3" x14ac:dyDescent="0.25">
      <c r="A1283" t="s">
        <v>4</v>
      </c>
      <c r="B1283" t="s">
        <v>15</v>
      </c>
    </row>
    <row r="1285" spans="1:3" x14ac:dyDescent="0.25">
      <c r="A1285" t="s">
        <v>2</v>
      </c>
      <c r="B1285" t="s">
        <v>19</v>
      </c>
    </row>
    <row r="1288" spans="1:3" x14ac:dyDescent="0.25">
      <c r="A1288" t="s">
        <v>61</v>
      </c>
    </row>
    <row r="1290" spans="1:3" x14ac:dyDescent="0.25">
      <c r="A1290" t="s">
        <v>20</v>
      </c>
      <c r="B1290" t="s">
        <v>3</v>
      </c>
      <c r="C1290" t="str">
        <f>A1290&amp;B1290</f>
        <v>launch3.VBSscript7</v>
      </c>
    </row>
    <row r="1292" spans="1:3" x14ac:dyDescent="0.25">
      <c r="A1292" t="s">
        <v>4</v>
      </c>
      <c r="B1292" t="s">
        <v>9</v>
      </c>
    </row>
    <row r="1294" spans="1:3" x14ac:dyDescent="0.25">
      <c r="A1294" t="s">
        <v>4</v>
      </c>
      <c r="B1294" t="s">
        <v>6</v>
      </c>
    </row>
    <row r="1296" spans="1:3" x14ac:dyDescent="0.25">
      <c r="A1296" t="s">
        <v>2</v>
      </c>
      <c r="B1296" t="s">
        <v>21</v>
      </c>
    </row>
    <row r="1298" spans="1:3" x14ac:dyDescent="0.25">
      <c r="A1298" t="s">
        <v>2</v>
      </c>
      <c r="B1298" t="s">
        <v>18</v>
      </c>
    </row>
    <row r="1300" spans="1:3" x14ac:dyDescent="0.25">
      <c r="A1300" t="s">
        <v>17</v>
      </c>
      <c r="B1300" t="s">
        <v>13</v>
      </c>
      <c r="C1300" t="str">
        <f>A1300&amp;B1300</f>
        <v>launch2.VBSscript10</v>
      </c>
    </row>
    <row r="1302" spans="1:3" x14ac:dyDescent="0.25">
      <c r="A1302" t="s">
        <v>4</v>
      </c>
      <c r="B1302" t="s">
        <v>16</v>
      </c>
    </row>
    <row r="1304" spans="1:3" x14ac:dyDescent="0.25">
      <c r="A1304" t="s">
        <v>2</v>
      </c>
      <c r="B1304" t="s">
        <v>22</v>
      </c>
    </row>
    <row r="1306" spans="1:3" x14ac:dyDescent="0.25">
      <c r="A1306" t="s">
        <v>10</v>
      </c>
      <c r="B1306" t="s">
        <v>8</v>
      </c>
      <c r="C1306" t="str">
        <f>A1306&amp;B1306</f>
        <v>launch5.VBSscript4</v>
      </c>
    </row>
    <row r="1308" spans="1:3" x14ac:dyDescent="0.25">
      <c r="A1308" t="s">
        <v>12</v>
      </c>
      <c r="B1308" t="s">
        <v>5</v>
      </c>
      <c r="C1308" t="str">
        <f>A1308&amp;B1308</f>
        <v>launch1.VBSscript13</v>
      </c>
    </row>
    <row r="1310" spans="1:3" x14ac:dyDescent="0.25">
      <c r="A1310" t="s">
        <v>2</v>
      </c>
      <c r="B1310" t="s">
        <v>14</v>
      </c>
    </row>
    <row r="1312" spans="1:3" x14ac:dyDescent="0.25">
      <c r="A1312" t="s">
        <v>7</v>
      </c>
      <c r="B1312" t="s">
        <v>15</v>
      </c>
      <c r="C1312" t="str">
        <f>A1312&amp;B1312</f>
        <v>launch4.VBSscript1</v>
      </c>
    </row>
    <row r="1314" spans="1:3" x14ac:dyDescent="0.25">
      <c r="A1314" t="s">
        <v>4</v>
      </c>
      <c r="B1314" t="s">
        <v>11</v>
      </c>
    </row>
    <row r="1316" spans="1:3" x14ac:dyDescent="0.25">
      <c r="A1316" t="s">
        <v>2</v>
      </c>
      <c r="B1316" t="s">
        <v>1</v>
      </c>
    </row>
    <row r="1318" spans="1:3" x14ac:dyDescent="0.25">
      <c r="A1318" t="s">
        <v>4</v>
      </c>
      <c r="B1318" t="s">
        <v>19</v>
      </c>
    </row>
    <row r="1321" spans="1:3" x14ac:dyDescent="0.25">
      <c r="A1321" t="s">
        <v>62</v>
      </c>
    </row>
    <row r="1323" spans="1:3" x14ac:dyDescent="0.25">
      <c r="A1323" t="s">
        <v>4</v>
      </c>
      <c r="B1323" t="s">
        <v>1</v>
      </c>
    </row>
    <row r="1325" spans="1:3" x14ac:dyDescent="0.25">
      <c r="A1325" t="s">
        <v>20</v>
      </c>
      <c r="B1325" t="s">
        <v>3</v>
      </c>
      <c r="C1325" t="str">
        <f>A1325&amp;B1325</f>
        <v>launch3.VBSscript7</v>
      </c>
    </row>
    <row r="1327" spans="1:3" x14ac:dyDescent="0.25">
      <c r="A1327" t="s">
        <v>4</v>
      </c>
      <c r="B1327" t="s">
        <v>14</v>
      </c>
    </row>
    <row r="1329" spans="1:3" x14ac:dyDescent="0.25">
      <c r="A1329" t="s">
        <v>2</v>
      </c>
      <c r="B1329" t="s">
        <v>9</v>
      </c>
    </row>
    <row r="1331" spans="1:3" x14ac:dyDescent="0.25">
      <c r="A1331" t="s">
        <v>2</v>
      </c>
      <c r="B1331" t="s">
        <v>6</v>
      </c>
    </row>
    <row r="1333" spans="1:3" x14ac:dyDescent="0.25">
      <c r="A1333" t="s">
        <v>2</v>
      </c>
      <c r="B1333" t="s">
        <v>11</v>
      </c>
    </row>
    <row r="1335" spans="1:3" x14ac:dyDescent="0.25">
      <c r="A1335" t="s">
        <v>2</v>
      </c>
      <c r="B1335" t="s">
        <v>19</v>
      </c>
    </row>
    <row r="1337" spans="1:3" x14ac:dyDescent="0.25">
      <c r="A1337" t="s">
        <v>4</v>
      </c>
      <c r="B1337" t="s">
        <v>18</v>
      </c>
    </row>
    <row r="1339" spans="1:3" x14ac:dyDescent="0.25">
      <c r="A1339" t="s">
        <v>2</v>
      </c>
      <c r="B1339" t="s">
        <v>16</v>
      </c>
    </row>
    <row r="1341" spans="1:3" x14ac:dyDescent="0.25">
      <c r="A1341" t="s">
        <v>17</v>
      </c>
      <c r="B1341" t="s">
        <v>8</v>
      </c>
      <c r="C1341" t="str">
        <f>A1341&amp;B1341</f>
        <v>launch2.VBSscript4</v>
      </c>
    </row>
    <row r="1343" spans="1:3" x14ac:dyDescent="0.25">
      <c r="A1343" t="s">
        <v>12</v>
      </c>
      <c r="B1343" t="s">
        <v>15</v>
      </c>
      <c r="C1343" t="str">
        <f>A1343&amp;B1343</f>
        <v>launch1.VBSscript1</v>
      </c>
    </row>
    <row r="1345" spans="1:3" x14ac:dyDescent="0.25">
      <c r="A1345" t="s">
        <v>4</v>
      </c>
      <c r="B1345" t="s">
        <v>22</v>
      </c>
    </row>
    <row r="1347" spans="1:3" x14ac:dyDescent="0.25">
      <c r="A1347" t="s">
        <v>10</v>
      </c>
      <c r="B1347" t="s">
        <v>5</v>
      </c>
      <c r="C1347" t="str">
        <f>A1347&amp;B1347</f>
        <v>launch5.VBSscript13</v>
      </c>
    </row>
    <row r="1349" spans="1:3" x14ac:dyDescent="0.25">
      <c r="A1349" t="s">
        <v>7</v>
      </c>
      <c r="B1349" t="s">
        <v>13</v>
      </c>
      <c r="C1349" t="str">
        <f>A1349&amp;B1349</f>
        <v>launch4.VBSscript10</v>
      </c>
    </row>
    <row r="1351" spans="1:3" x14ac:dyDescent="0.25">
      <c r="A1351" t="s">
        <v>4</v>
      </c>
      <c r="B1351" t="s">
        <v>21</v>
      </c>
    </row>
    <row r="1354" spans="1:3" x14ac:dyDescent="0.25">
      <c r="A1354" t="s">
        <v>63</v>
      </c>
    </row>
    <row r="1356" spans="1:3" x14ac:dyDescent="0.25">
      <c r="A1356" t="s">
        <v>2</v>
      </c>
      <c r="B1356" t="s">
        <v>13</v>
      </c>
    </row>
    <row r="1358" spans="1:3" x14ac:dyDescent="0.25">
      <c r="A1358" t="s">
        <v>4</v>
      </c>
      <c r="B1358" t="s">
        <v>9</v>
      </c>
    </row>
    <row r="1360" spans="1:3" x14ac:dyDescent="0.25">
      <c r="A1360" t="s">
        <v>7</v>
      </c>
      <c r="B1360" t="s">
        <v>22</v>
      </c>
      <c r="C1360" t="str">
        <f>A1360&amp;B1360</f>
        <v>launch4.VBSscript3</v>
      </c>
    </row>
    <row r="1362" spans="1:3" x14ac:dyDescent="0.25">
      <c r="A1362" t="s">
        <v>12</v>
      </c>
      <c r="B1362" t="s">
        <v>1</v>
      </c>
      <c r="C1362" t="str">
        <f>A1362&amp;B1362</f>
        <v>launch1.VBSscript9</v>
      </c>
    </row>
    <row r="1364" spans="1:3" x14ac:dyDescent="0.25">
      <c r="A1364" t="s">
        <v>2</v>
      </c>
      <c r="B1364" t="s">
        <v>8</v>
      </c>
    </row>
    <row r="1366" spans="1:3" x14ac:dyDescent="0.25">
      <c r="A1366" t="s">
        <v>2</v>
      </c>
      <c r="B1366" t="s">
        <v>5</v>
      </c>
    </row>
    <row r="1368" spans="1:3" x14ac:dyDescent="0.25">
      <c r="A1368" t="s">
        <v>4</v>
      </c>
      <c r="B1368" t="s">
        <v>16</v>
      </c>
    </row>
    <row r="1370" spans="1:3" x14ac:dyDescent="0.25">
      <c r="A1370" t="s">
        <v>4</v>
      </c>
      <c r="B1370" t="s">
        <v>6</v>
      </c>
    </row>
    <row r="1372" spans="1:3" x14ac:dyDescent="0.25">
      <c r="A1372" t="s">
        <v>4</v>
      </c>
      <c r="B1372" t="s">
        <v>19</v>
      </c>
    </row>
    <row r="1374" spans="1:3" x14ac:dyDescent="0.25">
      <c r="A1374" t="s">
        <v>2</v>
      </c>
      <c r="B1374" t="s">
        <v>3</v>
      </c>
    </row>
    <row r="1376" spans="1:3" x14ac:dyDescent="0.25">
      <c r="A1376" t="s">
        <v>10</v>
      </c>
      <c r="B1376" t="s">
        <v>14</v>
      </c>
      <c r="C1376" t="str">
        <f>A1376&amp;B1376</f>
        <v>launch5.VBSscript6</v>
      </c>
    </row>
    <row r="1378" spans="1:3" x14ac:dyDescent="0.25">
      <c r="A1378" t="s">
        <v>17</v>
      </c>
      <c r="B1378" t="s">
        <v>21</v>
      </c>
      <c r="C1378" t="str">
        <f>A1378&amp;B1378</f>
        <v>launch2.VBSscript12</v>
      </c>
    </row>
    <row r="1380" spans="1:3" x14ac:dyDescent="0.25">
      <c r="A1380" t="s">
        <v>20</v>
      </c>
      <c r="B1380" t="s">
        <v>18</v>
      </c>
      <c r="C1380" t="str">
        <f>A1380&amp;B1380</f>
        <v>launch3.VBSscript15</v>
      </c>
    </row>
    <row r="1382" spans="1:3" x14ac:dyDescent="0.25">
      <c r="A1382" t="s">
        <v>2</v>
      </c>
      <c r="B1382" t="s">
        <v>15</v>
      </c>
    </row>
    <row r="1384" spans="1:3" x14ac:dyDescent="0.25">
      <c r="A1384" t="s">
        <v>4</v>
      </c>
      <c r="B1384" t="s">
        <v>11</v>
      </c>
    </row>
    <row r="1387" spans="1:3" x14ac:dyDescent="0.25">
      <c r="A1387" t="s">
        <v>64</v>
      </c>
    </row>
    <row r="1389" spans="1:3" x14ac:dyDescent="0.25">
      <c r="A1389" t="s">
        <v>20</v>
      </c>
      <c r="B1389" t="s">
        <v>9</v>
      </c>
      <c r="C1389" t="str">
        <f>A1389&amp;B1389</f>
        <v>launch3.VBSscript14</v>
      </c>
    </row>
    <row r="1391" spans="1:3" x14ac:dyDescent="0.25">
      <c r="A1391" t="s">
        <v>4</v>
      </c>
      <c r="B1391" t="s">
        <v>14</v>
      </c>
    </row>
    <row r="1393" spans="1:3" x14ac:dyDescent="0.25">
      <c r="A1393" t="s">
        <v>7</v>
      </c>
      <c r="B1393" t="s">
        <v>11</v>
      </c>
      <c r="C1393" t="str">
        <f>A1393&amp;B1393</f>
        <v>launch4.VBSscript11</v>
      </c>
    </row>
    <row r="1395" spans="1:3" x14ac:dyDescent="0.25">
      <c r="A1395" t="s">
        <v>17</v>
      </c>
      <c r="B1395" t="s">
        <v>6</v>
      </c>
      <c r="C1395" t="str">
        <f>A1395&amp;B1395</f>
        <v>launch2.VBSscript8</v>
      </c>
    </row>
    <row r="1397" spans="1:3" x14ac:dyDescent="0.25">
      <c r="A1397" t="s">
        <v>2</v>
      </c>
      <c r="B1397" t="s">
        <v>8</v>
      </c>
    </row>
    <row r="1399" spans="1:3" x14ac:dyDescent="0.25">
      <c r="A1399" t="s">
        <v>2</v>
      </c>
      <c r="B1399" t="s">
        <v>3</v>
      </c>
    </row>
    <row r="1401" spans="1:3" x14ac:dyDescent="0.25">
      <c r="A1401" t="s">
        <v>4</v>
      </c>
      <c r="B1401" t="s">
        <v>1</v>
      </c>
    </row>
    <row r="1403" spans="1:3" x14ac:dyDescent="0.25">
      <c r="A1403" t="s">
        <v>2</v>
      </c>
      <c r="B1403" t="s">
        <v>15</v>
      </c>
    </row>
    <row r="1405" spans="1:3" x14ac:dyDescent="0.25">
      <c r="A1405" t="s">
        <v>12</v>
      </c>
      <c r="B1405" t="s">
        <v>16</v>
      </c>
      <c r="C1405" t="str">
        <f>A1405&amp;B1405</f>
        <v>launch1.VBSscript2</v>
      </c>
    </row>
    <row r="1407" spans="1:3" x14ac:dyDescent="0.25">
      <c r="A1407" t="s">
        <v>4</v>
      </c>
      <c r="B1407" t="s">
        <v>22</v>
      </c>
    </row>
    <row r="1409" spans="1:3" x14ac:dyDescent="0.25">
      <c r="A1409" t="s">
        <v>10</v>
      </c>
      <c r="B1409" t="s">
        <v>19</v>
      </c>
      <c r="C1409" t="str">
        <f>A1409&amp;B1409</f>
        <v>launch5.VBSscript5</v>
      </c>
    </row>
    <row r="1411" spans="1:3" x14ac:dyDescent="0.25">
      <c r="A1411" t="s">
        <v>4</v>
      </c>
      <c r="B1411" t="s">
        <v>21</v>
      </c>
    </row>
    <row r="1413" spans="1:3" x14ac:dyDescent="0.25">
      <c r="A1413" t="s">
        <v>2</v>
      </c>
      <c r="B1413" t="s">
        <v>13</v>
      </c>
    </row>
    <row r="1415" spans="1:3" x14ac:dyDescent="0.25">
      <c r="A1415" t="s">
        <v>2</v>
      </c>
      <c r="B1415" t="s">
        <v>5</v>
      </c>
    </row>
    <row r="1417" spans="1:3" x14ac:dyDescent="0.25">
      <c r="A1417" t="s">
        <v>4</v>
      </c>
      <c r="B1417" t="s">
        <v>18</v>
      </c>
    </row>
    <row r="1420" spans="1:3" x14ac:dyDescent="0.25">
      <c r="A1420" t="s">
        <v>65</v>
      </c>
    </row>
    <row r="1422" spans="1:3" x14ac:dyDescent="0.25">
      <c r="A1422" t="s">
        <v>10</v>
      </c>
      <c r="B1422" t="s">
        <v>11</v>
      </c>
      <c r="C1422" t="str">
        <f>A1422&amp;B1422</f>
        <v>launch5.VBSscript11</v>
      </c>
    </row>
    <row r="1424" spans="1:3" x14ac:dyDescent="0.25">
      <c r="A1424" t="s">
        <v>4</v>
      </c>
      <c r="B1424" t="s">
        <v>15</v>
      </c>
    </row>
    <row r="1426" spans="1:3" x14ac:dyDescent="0.25">
      <c r="A1426" t="s">
        <v>2</v>
      </c>
      <c r="B1426" t="s">
        <v>22</v>
      </c>
    </row>
    <row r="1428" spans="1:3" x14ac:dyDescent="0.25">
      <c r="A1428" t="s">
        <v>20</v>
      </c>
      <c r="B1428" t="s">
        <v>6</v>
      </c>
      <c r="C1428" t="str">
        <f>A1428&amp;B1428</f>
        <v>launch3.VBSscript8</v>
      </c>
    </row>
    <row r="1430" spans="1:3" x14ac:dyDescent="0.25">
      <c r="A1430" t="s">
        <v>4</v>
      </c>
      <c r="B1430" t="s">
        <v>3</v>
      </c>
    </row>
    <row r="1432" spans="1:3" x14ac:dyDescent="0.25">
      <c r="A1432" t="s">
        <v>7</v>
      </c>
      <c r="B1432" t="s">
        <v>9</v>
      </c>
      <c r="C1432" t="str">
        <f>A1432&amp;B1432</f>
        <v>launch4.VBSscript14</v>
      </c>
    </row>
    <row r="1434" spans="1:3" x14ac:dyDescent="0.25">
      <c r="A1434" t="s">
        <v>4</v>
      </c>
      <c r="B1434" t="s">
        <v>5</v>
      </c>
    </row>
    <row r="1436" spans="1:3" x14ac:dyDescent="0.25">
      <c r="A1436" t="s">
        <v>17</v>
      </c>
      <c r="B1436" t="s">
        <v>19</v>
      </c>
      <c r="C1436" t="str">
        <f>A1436&amp;B1436</f>
        <v>launch2.VBSscript5</v>
      </c>
    </row>
    <row r="1438" spans="1:3" x14ac:dyDescent="0.25">
      <c r="A1438" t="s">
        <v>2</v>
      </c>
      <c r="B1438" t="s">
        <v>1</v>
      </c>
    </row>
    <row r="1440" spans="1:3" x14ac:dyDescent="0.25">
      <c r="A1440" t="s">
        <v>4</v>
      </c>
      <c r="B1440" t="s">
        <v>13</v>
      </c>
    </row>
    <row r="1442" spans="1:3" x14ac:dyDescent="0.25">
      <c r="A1442" t="s">
        <v>2</v>
      </c>
      <c r="B1442" t="s">
        <v>14</v>
      </c>
    </row>
    <row r="1444" spans="1:3" x14ac:dyDescent="0.25">
      <c r="A1444" t="s">
        <v>4</v>
      </c>
      <c r="B1444" t="s">
        <v>8</v>
      </c>
    </row>
    <row r="1446" spans="1:3" x14ac:dyDescent="0.25">
      <c r="A1446" t="s">
        <v>2</v>
      </c>
      <c r="B1446" t="s">
        <v>18</v>
      </c>
    </row>
    <row r="1448" spans="1:3" x14ac:dyDescent="0.25">
      <c r="A1448" t="s">
        <v>2</v>
      </c>
      <c r="B1448" t="s">
        <v>21</v>
      </c>
    </row>
    <row r="1450" spans="1:3" x14ac:dyDescent="0.25">
      <c r="A1450" t="s">
        <v>12</v>
      </c>
      <c r="B1450" t="s">
        <v>16</v>
      </c>
      <c r="C1450" t="str">
        <f>A1450&amp;B1450</f>
        <v>launch1.VBSscript2</v>
      </c>
    </row>
    <row r="1453" spans="1:3" x14ac:dyDescent="0.25">
      <c r="A1453" t="s">
        <v>66</v>
      </c>
    </row>
    <row r="1455" spans="1:3" x14ac:dyDescent="0.25">
      <c r="A1455" t="s">
        <v>10</v>
      </c>
      <c r="B1455" t="s">
        <v>1</v>
      </c>
      <c r="C1455" t="str">
        <f>A1455&amp;B1455</f>
        <v>launch5.VBSscript9</v>
      </c>
    </row>
    <row r="1457" spans="1:3" x14ac:dyDescent="0.25">
      <c r="A1457" t="s">
        <v>7</v>
      </c>
      <c r="B1457" t="s">
        <v>21</v>
      </c>
      <c r="C1457" t="str">
        <f>A1457&amp;B1457</f>
        <v>launch4.VBSscript12</v>
      </c>
    </row>
    <row r="1459" spans="1:3" x14ac:dyDescent="0.25">
      <c r="A1459" t="s">
        <v>4</v>
      </c>
      <c r="B1459" t="s">
        <v>6</v>
      </c>
    </row>
    <row r="1461" spans="1:3" x14ac:dyDescent="0.25">
      <c r="A1461" t="s">
        <v>2</v>
      </c>
      <c r="B1461" t="s">
        <v>8</v>
      </c>
    </row>
    <row r="1463" spans="1:3" x14ac:dyDescent="0.25">
      <c r="A1463" t="s">
        <v>12</v>
      </c>
      <c r="B1463" t="s">
        <v>18</v>
      </c>
      <c r="C1463" t="str">
        <f>A1463&amp;B1463</f>
        <v>launch1.VBSscript15</v>
      </c>
    </row>
    <row r="1465" spans="1:3" x14ac:dyDescent="0.25">
      <c r="A1465" t="s">
        <v>2</v>
      </c>
      <c r="B1465" t="s">
        <v>5</v>
      </c>
    </row>
    <row r="1467" spans="1:3" x14ac:dyDescent="0.25">
      <c r="A1467" t="s">
        <v>20</v>
      </c>
      <c r="B1467" t="s">
        <v>22</v>
      </c>
      <c r="C1467" t="str">
        <f>A1467&amp;B1467</f>
        <v>launch3.VBSscript3</v>
      </c>
    </row>
    <row r="1469" spans="1:3" x14ac:dyDescent="0.25">
      <c r="A1469" t="s">
        <v>4</v>
      </c>
      <c r="B1469" t="s">
        <v>9</v>
      </c>
    </row>
    <row r="1471" spans="1:3" x14ac:dyDescent="0.25">
      <c r="A1471" t="s">
        <v>17</v>
      </c>
      <c r="B1471" t="s">
        <v>14</v>
      </c>
      <c r="C1471" t="str">
        <f>A1471&amp;B1471</f>
        <v>launch2.VBSscript6</v>
      </c>
    </row>
    <row r="1473" spans="1:2" x14ac:dyDescent="0.25">
      <c r="A1473" t="s">
        <v>2</v>
      </c>
      <c r="B1473" t="s">
        <v>15</v>
      </c>
    </row>
    <row r="1475" spans="1:2" x14ac:dyDescent="0.25">
      <c r="A1475" t="s">
        <v>4</v>
      </c>
      <c r="B1475" t="s">
        <v>11</v>
      </c>
    </row>
    <row r="1477" spans="1:2" x14ac:dyDescent="0.25">
      <c r="A1477" t="s">
        <v>4</v>
      </c>
      <c r="B1477" t="s">
        <v>16</v>
      </c>
    </row>
    <row r="1479" spans="1:2" x14ac:dyDescent="0.25">
      <c r="A1479" t="s">
        <v>4</v>
      </c>
      <c r="B1479" t="s">
        <v>19</v>
      </c>
    </row>
    <row r="1481" spans="1:2" x14ac:dyDescent="0.25">
      <c r="A1481" t="s">
        <v>2</v>
      </c>
      <c r="B1481" t="s">
        <v>3</v>
      </c>
    </row>
    <row r="1483" spans="1:2" x14ac:dyDescent="0.25">
      <c r="A1483" t="s">
        <v>2</v>
      </c>
      <c r="B1483" t="s">
        <v>13</v>
      </c>
    </row>
    <row r="1486" spans="1:2" x14ac:dyDescent="0.25">
      <c r="A1486" t="s">
        <v>67</v>
      </c>
    </row>
    <row r="1488" spans="1:2" x14ac:dyDescent="0.25">
      <c r="A1488" t="s">
        <v>2</v>
      </c>
      <c r="B1488" t="s">
        <v>11</v>
      </c>
    </row>
    <row r="1490" spans="1:3" x14ac:dyDescent="0.25">
      <c r="A1490" t="s">
        <v>4</v>
      </c>
      <c r="B1490" t="s">
        <v>15</v>
      </c>
    </row>
    <row r="1492" spans="1:3" x14ac:dyDescent="0.25">
      <c r="A1492" t="s">
        <v>7</v>
      </c>
      <c r="B1492" t="s">
        <v>18</v>
      </c>
      <c r="C1492" t="str">
        <f>A1492&amp;B1492</f>
        <v>launch4.VBSscript15</v>
      </c>
    </row>
    <row r="1494" spans="1:3" x14ac:dyDescent="0.25">
      <c r="A1494" t="s">
        <v>4</v>
      </c>
      <c r="B1494" t="s">
        <v>13</v>
      </c>
    </row>
    <row r="1496" spans="1:3" x14ac:dyDescent="0.25">
      <c r="A1496" t="s">
        <v>10</v>
      </c>
      <c r="B1496" t="s">
        <v>14</v>
      </c>
      <c r="C1496" t="str">
        <f>A1496&amp;B1496</f>
        <v>launch5.VBSscript6</v>
      </c>
    </row>
    <row r="1498" spans="1:3" x14ac:dyDescent="0.25">
      <c r="A1498" t="s">
        <v>4</v>
      </c>
      <c r="B1498" t="s">
        <v>3</v>
      </c>
    </row>
    <row r="1500" spans="1:3" x14ac:dyDescent="0.25">
      <c r="A1500" t="s">
        <v>2</v>
      </c>
      <c r="B1500" t="s">
        <v>6</v>
      </c>
    </row>
    <row r="1502" spans="1:3" x14ac:dyDescent="0.25">
      <c r="A1502" t="s">
        <v>2</v>
      </c>
      <c r="B1502" t="s">
        <v>9</v>
      </c>
    </row>
    <row r="1504" spans="1:3" x14ac:dyDescent="0.25">
      <c r="A1504" t="s">
        <v>2</v>
      </c>
      <c r="B1504" t="s">
        <v>19</v>
      </c>
    </row>
    <row r="1506" spans="1:3" x14ac:dyDescent="0.25">
      <c r="A1506" t="s">
        <v>20</v>
      </c>
      <c r="B1506" t="s">
        <v>1</v>
      </c>
      <c r="C1506" t="str">
        <f>A1506&amp;B1506</f>
        <v>launch3.VBSscript9</v>
      </c>
    </row>
    <row r="1508" spans="1:3" x14ac:dyDescent="0.25">
      <c r="A1508" t="s">
        <v>2</v>
      </c>
      <c r="B1508" t="s">
        <v>16</v>
      </c>
    </row>
    <row r="1510" spans="1:3" x14ac:dyDescent="0.25">
      <c r="A1510" t="s">
        <v>4</v>
      </c>
      <c r="B1510" t="s">
        <v>8</v>
      </c>
    </row>
    <row r="1512" spans="1:3" x14ac:dyDescent="0.25">
      <c r="A1512" t="s">
        <v>4</v>
      </c>
      <c r="B1512" t="s">
        <v>5</v>
      </c>
    </row>
    <row r="1514" spans="1:3" x14ac:dyDescent="0.25">
      <c r="A1514" t="s">
        <v>12</v>
      </c>
      <c r="B1514" t="s">
        <v>22</v>
      </c>
      <c r="C1514" t="str">
        <f>A1514&amp;B1514</f>
        <v>launch1.VBSscript3</v>
      </c>
    </row>
    <row r="1516" spans="1:3" x14ac:dyDescent="0.25">
      <c r="A1516" t="s">
        <v>17</v>
      </c>
      <c r="B1516" t="s">
        <v>21</v>
      </c>
      <c r="C1516" t="str">
        <f>A1516&amp;B1516</f>
        <v>launch2.VBSscript12</v>
      </c>
    </row>
    <row r="1519" spans="1:3" x14ac:dyDescent="0.25">
      <c r="A1519" t="s">
        <v>68</v>
      </c>
    </row>
    <row r="1521" spans="1:3" x14ac:dyDescent="0.25">
      <c r="A1521" t="s">
        <v>2</v>
      </c>
      <c r="B1521" t="s">
        <v>18</v>
      </c>
    </row>
    <row r="1523" spans="1:3" x14ac:dyDescent="0.25">
      <c r="A1523" t="s">
        <v>2</v>
      </c>
      <c r="B1523" t="s">
        <v>1</v>
      </c>
    </row>
    <row r="1525" spans="1:3" x14ac:dyDescent="0.25">
      <c r="A1525" t="s">
        <v>4</v>
      </c>
      <c r="B1525" t="s">
        <v>9</v>
      </c>
    </row>
    <row r="1527" spans="1:3" x14ac:dyDescent="0.25">
      <c r="A1527" t="s">
        <v>4</v>
      </c>
      <c r="B1527" t="s">
        <v>6</v>
      </c>
    </row>
    <row r="1529" spans="1:3" x14ac:dyDescent="0.25">
      <c r="A1529" t="s">
        <v>20</v>
      </c>
      <c r="B1529" t="s">
        <v>8</v>
      </c>
      <c r="C1529" t="str">
        <f>A1529&amp;B1529</f>
        <v>launch3.VBSscript4</v>
      </c>
    </row>
    <row r="1531" spans="1:3" x14ac:dyDescent="0.25">
      <c r="A1531" t="s">
        <v>2</v>
      </c>
      <c r="B1531" t="s">
        <v>21</v>
      </c>
    </row>
    <row r="1533" spans="1:3" x14ac:dyDescent="0.25">
      <c r="A1533" t="s">
        <v>17</v>
      </c>
      <c r="B1533" t="s">
        <v>13</v>
      </c>
      <c r="C1533" t="str">
        <f>A1533&amp;B1533</f>
        <v>launch2.VBSscript10</v>
      </c>
    </row>
    <row r="1535" spans="1:3" x14ac:dyDescent="0.25">
      <c r="A1535" t="s">
        <v>4</v>
      </c>
      <c r="B1535" t="s">
        <v>16</v>
      </c>
    </row>
    <row r="1537" spans="1:3" x14ac:dyDescent="0.25">
      <c r="A1537" t="s">
        <v>7</v>
      </c>
      <c r="B1537" t="s">
        <v>3</v>
      </c>
      <c r="C1537" t="str">
        <f>A1537&amp;B1537</f>
        <v>launch4.VBSscript7</v>
      </c>
    </row>
    <row r="1539" spans="1:3" x14ac:dyDescent="0.25">
      <c r="A1539" t="s">
        <v>2</v>
      </c>
      <c r="B1539" t="s">
        <v>14</v>
      </c>
    </row>
    <row r="1541" spans="1:3" x14ac:dyDescent="0.25">
      <c r="A1541" t="s">
        <v>4</v>
      </c>
      <c r="B1541" t="s">
        <v>19</v>
      </c>
    </row>
    <row r="1543" spans="1:3" x14ac:dyDescent="0.25">
      <c r="A1543" t="s">
        <v>12</v>
      </c>
      <c r="B1543" t="s">
        <v>5</v>
      </c>
      <c r="C1543" t="str">
        <f>A1543&amp;B1543</f>
        <v>launch1.VBSscript13</v>
      </c>
    </row>
    <row r="1545" spans="1:3" x14ac:dyDescent="0.25">
      <c r="A1545" t="s">
        <v>4</v>
      </c>
      <c r="B1545" t="s">
        <v>11</v>
      </c>
    </row>
    <row r="1547" spans="1:3" x14ac:dyDescent="0.25">
      <c r="A1547" t="s">
        <v>2</v>
      </c>
      <c r="B1547" t="s">
        <v>22</v>
      </c>
    </row>
    <row r="1549" spans="1:3" x14ac:dyDescent="0.25">
      <c r="A1549" t="s">
        <v>10</v>
      </c>
      <c r="B1549" t="s">
        <v>15</v>
      </c>
      <c r="C1549" t="str">
        <f>A1549&amp;B1549</f>
        <v>launch5.VBSscript1</v>
      </c>
    </row>
    <row r="1552" spans="1:3" x14ac:dyDescent="0.25">
      <c r="A1552" t="s">
        <v>69</v>
      </c>
    </row>
    <row r="1554" spans="1:3" x14ac:dyDescent="0.25">
      <c r="A1554" t="s">
        <v>4</v>
      </c>
      <c r="B1554" t="s">
        <v>1</v>
      </c>
    </row>
    <row r="1556" spans="1:3" x14ac:dyDescent="0.25">
      <c r="A1556" t="s">
        <v>7</v>
      </c>
      <c r="B1556" t="s">
        <v>15</v>
      </c>
      <c r="C1556" t="str">
        <f>A1556&amp;B1556</f>
        <v>launch4.VBSscript1</v>
      </c>
    </row>
    <row r="1558" spans="1:3" x14ac:dyDescent="0.25">
      <c r="A1558" t="s">
        <v>20</v>
      </c>
      <c r="B1558" t="s">
        <v>3</v>
      </c>
      <c r="C1558" t="str">
        <f>A1558&amp;B1558</f>
        <v>launch3.VBSscript7</v>
      </c>
    </row>
    <row r="1560" spans="1:3" x14ac:dyDescent="0.25">
      <c r="A1560" t="s">
        <v>2</v>
      </c>
      <c r="B1560" t="s">
        <v>19</v>
      </c>
    </row>
    <row r="1562" spans="1:3" x14ac:dyDescent="0.25">
      <c r="A1562" t="s">
        <v>12</v>
      </c>
      <c r="B1562" t="s">
        <v>5</v>
      </c>
      <c r="C1562" t="str">
        <f>A1562&amp;B1562</f>
        <v>launch1.VBSscript13</v>
      </c>
    </row>
    <row r="1564" spans="1:3" x14ac:dyDescent="0.25">
      <c r="A1564" t="s">
        <v>2</v>
      </c>
      <c r="B1564" t="s">
        <v>16</v>
      </c>
    </row>
    <row r="1566" spans="1:3" x14ac:dyDescent="0.25">
      <c r="A1566" t="s">
        <v>10</v>
      </c>
      <c r="B1566" t="s">
        <v>8</v>
      </c>
      <c r="C1566" t="str">
        <f>A1566&amp;B1566</f>
        <v>launch5.VBSscript4</v>
      </c>
    </row>
    <row r="1568" spans="1:3" x14ac:dyDescent="0.25">
      <c r="A1568" t="s">
        <v>4</v>
      </c>
      <c r="B1568" t="s">
        <v>14</v>
      </c>
    </row>
    <row r="1570" spans="1:3" x14ac:dyDescent="0.25">
      <c r="A1570" t="s">
        <v>2</v>
      </c>
      <c r="B1570" t="s">
        <v>11</v>
      </c>
    </row>
    <row r="1572" spans="1:3" x14ac:dyDescent="0.25">
      <c r="A1572" t="s">
        <v>17</v>
      </c>
      <c r="B1572" t="s">
        <v>13</v>
      </c>
      <c r="C1572" t="str">
        <f>A1572&amp;B1572</f>
        <v>launch2.VBSscript10</v>
      </c>
    </row>
    <row r="1574" spans="1:3" x14ac:dyDescent="0.25">
      <c r="A1574" t="s">
        <v>4</v>
      </c>
      <c r="B1574" t="s">
        <v>18</v>
      </c>
    </row>
    <row r="1576" spans="1:3" x14ac:dyDescent="0.25">
      <c r="A1576" t="s">
        <v>4</v>
      </c>
      <c r="B1576" t="s">
        <v>22</v>
      </c>
    </row>
    <row r="1578" spans="1:3" x14ac:dyDescent="0.25">
      <c r="A1578" t="s">
        <v>2</v>
      </c>
      <c r="B1578" t="s">
        <v>6</v>
      </c>
    </row>
    <row r="1580" spans="1:3" x14ac:dyDescent="0.25">
      <c r="A1580" t="s">
        <v>2</v>
      </c>
      <c r="B1580" t="s">
        <v>9</v>
      </c>
    </row>
    <row r="1582" spans="1:3" x14ac:dyDescent="0.25">
      <c r="A1582" t="s">
        <v>4</v>
      </c>
      <c r="B1582" t="s">
        <v>21</v>
      </c>
    </row>
    <row r="1585" spans="1:3" x14ac:dyDescent="0.25">
      <c r="A1585" t="s">
        <v>70</v>
      </c>
    </row>
    <row r="1587" spans="1:3" x14ac:dyDescent="0.25">
      <c r="A1587" t="s">
        <v>4</v>
      </c>
      <c r="B1587" t="s">
        <v>16</v>
      </c>
    </row>
    <row r="1589" spans="1:3" x14ac:dyDescent="0.25">
      <c r="A1589" t="s">
        <v>2</v>
      </c>
      <c r="B1589" t="s">
        <v>13</v>
      </c>
    </row>
    <row r="1591" spans="1:3" x14ac:dyDescent="0.25">
      <c r="A1591" t="s">
        <v>17</v>
      </c>
      <c r="B1591" t="s">
        <v>18</v>
      </c>
      <c r="C1591" t="str">
        <f>A1591&amp;B1591</f>
        <v>launch2.VBSscript15</v>
      </c>
    </row>
    <row r="1593" spans="1:3" x14ac:dyDescent="0.25">
      <c r="A1593" t="s">
        <v>2</v>
      </c>
      <c r="B1593" t="s">
        <v>8</v>
      </c>
    </row>
    <row r="1595" spans="1:3" x14ac:dyDescent="0.25">
      <c r="A1595" t="s">
        <v>7</v>
      </c>
      <c r="B1595" t="s">
        <v>1</v>
      </c>
      <c r="C1595" t="str">
        <f>A1595&amp;B1595</f>
        <v>launch4.VBSscript9</v>
      </c>
    </row>
    <row r="1597" spans="1:3" x14ac:dyDescent="0.25">
      <c r="A1597" t="s">
        <v>4</v>
      </c>
      <c r="B1597" t="s">
        <v>19</v>
      </c>
    </row>
    <row r="1599" spans="1:3" x14ac:dyDescent="0.25">
      <c r="A1599" t="s">
        <v>20</v>
      </c>
      <c r="B1599" t="s">
        <v>14</v>
      </c>
      <c r="C1599" t="str">
        <f>A1599&amp;B1599</f>
        <v>launch3.VBSscript6</v>
      </c>
    </row>
    <row r="1601" spans="1:3" x14ac:dyDescent="0.25">
      <c r="A1601" t="s">
        <v>4</v>
      </c>
      <c r="B1601" t="s">
        <v>9</v>
      </c>
    </row>
    <row r="1603" spans="1:3" x14ac:dyDescent="0.25">
      <c r="A1603" t="s">
        <v>2</v>
      </c>
      <c r="B1603" t="s">
        <v>3</v>
      </c>
    </row>
    <row r="1605" spans="1:3" x14ac:dyDescent="0.25">
      <c r="A1605" t="s">
        <v>4</v>
      </c>
      <c r="B1605" t="s">
        <v>6</v>
      </c>
    </row>
    <row r="1607" spans="1:3" x14ac:dyDescent="0.25">
      <c r="A1607" t="s">
        <v>2</v>
      </c>
      <c r="B1607" t="s">
        <v>5</v>
      </c>
    </row>
    <row r="1609" spans="1:3" x14ac:dyDescent="0.25">
      <c r="A1609" t="s">
        <v>10</v>
      </c>
      <c r="B1609" t="s">
        <v>21</v>
      </c>
      <c r="C1609" t="str">
        <f>A1609&amp;B1609</f>
        <v>launch5.VBSscript12</v>
      </c>
    </row>
    <row r="1611" spans="1:3" x14ac:dyDescent="0.25">
      <c r="A1611" t="s">
        <v>12</v>
      </c>
      <c r="B1611" t="s">
        <v>22</v>
      </c>
      <c r="C1611" t="str">
        <f>A1611&amp;B1611</f>
        <v>launch1.VBSscript3</v>
      </c>
    </row>
    <row r="1613" spans="1:3" x14ac:dyDescent="0.25">
      <c r="A1613" t="s">
        <v>4</v>
      </c>
      <c r="B1613" t="s">
        <v>11</v>
      </c>
    </row>
    <row r="1615" spans="1:3" x14ac:dyDescent="0.25">
      <c r="A1615" t="s">
        <v>2</v>
      </c>
      <c r="B1615" t="s">
        <v>15</v>
      </c>
    </row>
    <row r="1618" spans="1:3" x14ac:dyDescent="0.25">
      <c r="A1618" t="s">
        <v>71</v>
      </c>
    </row>
    <row r="1620" spans="1:3" x14ac:dyDescent="0.25">
      <c r="A1620" t="s">
        <v>20</v>
      </c>
      <c r="B1620" t="s">
        <v>16</v>
      </c>
      <c r="C1620" t="str">
        <f>A1620&amp;B1620</f>
        <v>launch3.VBSscript2</v>
      </c>
    </row>
    <row r="1622" spans="1:3" x14ac:dyDescent="0.25">
      <c r="A1622" t="s">
        <v>2</v>
      </c>
      <c r="B1622" t="s">
        <v>5</v>
      </c>
    </row>
    <row r="1624" spans="1:3" x14ac:dyDescent="0.25">
      <c r="A1624" t="s">
        <v>17</v>
      </c>
      <c r="B1624" t="s">
        <v>11</v>
      </c>
      <c r="C1624" t="str">
        <f>A1624&amp;B1624</f>
        <v>launch2.VBSscript11</v>
      </c>
    </row>
    <row r="1626" spans="1:3" x14ac:dyDescent="0.25">
      <c r="A1626" t="s">
        <v>7</v>
      </c>
      <c r="B1626" t="s">
        <v>6</v>
      </c>
      <c r="C1626" t="str">
        <f>A1626&amp;B1626</f>
        <v>launch4.VBSscript8</v>
      </c>
    </row>
    <row r="1628" spans="1:3" x14ac:dyDescent="0.25">
      <c r="A1628" t="s">
        <v>2</v>
      </c>
      <c r="B1628" t="s">
        <v>15</v>
      </c>
    </row>
    <row r="1630" spans="1:3" x14ac:dyDescent="0.25">
      <c r="A1630" t="s">
        <v>2</v>
      </c>
      <c r="B1630" t="s">
        <v>13</v>
      </c>
    </row>
    <row r="1632" spans="1:3" x14ac:dyDescent="0.25">
      <c r="A1632" t="s">
        <v>12</v>
      </c>
      <c r="B1632" t="s">
        <v>19</v>
      </c>
      <c r="C1632" t="str">
        <f>A1632&amp;B1632</f>
        <v>launch1.VBSscript5</v>
      </c>
    </row>
    <row r="1634" spans="1:3" x14ac:dyDescent="0.25">
      <c r="A1634" t="s">
        <v>2</v>
      </c>
      <c r="B1634" t="s">
        <v>3</v>
      </c>
    </row>
    <row r="1636" spans="1:3" x14ac:dyDescent="0.25">
      <c r="A1636" t="s">
        <v>4</v>
      </c>
      <c r="B1636" t="s">
        <v>1</v>
      </c>
    </row>
    <row r="1638" spans="1:3" x14ac:dyDescent="0.25">
      <c r="A1638" t="s">
        <v>4</v>
      </c>
      <c r="B1638" t="s">
        <v>22</v>
      </c>
    </row>
    <row r="1640" spans="1:3" x14ac:dyDescent="0.25">
      <c r="A1640" t="s">
        <v>4</v>
      </c>
      <c r="B1640" t="s">
        <v>18</v>
      </c>
    </row>
    <row r="1642" spans="1:3" x14ac:dyDescent="0.25">
      <c r="A1642" t="s">
        <v>4</v>
      </c>
      <c r="B1642" t="s">
        <v>14</v>
      </c>
    </row>
    <row r="1644" spans="1:3" x14ac:dyDescent="0.25">
      <c r="A1644" t="s">
        <v>4</v>
      </c>
      <c r="B1644" t="s">
        <v>21</v>
      </c>
    </row>
    <row r="1646" spans="1:3" x14ac:dyDescent="0.25">
      <c r="A1646" t="s">
        <v>2</v>
      </c>
      <c r="B1646" t="s">
        <v>8</v>
      </c>
    </row>
    <row r="1648" spans="1:3" x14ac:dyDescent="0.25">
      <c r="A1648" t="s">
        <v>10</v>
      </c>
      <c r="B1648" t="s">
        <v>9</v>
      </c>
      <c r="C1648" t="str">
        <f>A1648&amp;B1648</f>
        <v>launch5.VBSscript14</v>
      </c>
    </row>
    <row r="1651" spans="1:3" x14ac:dyDescent="0.25">
      <c r="A1651" t="s">
        <v>72</v>
      </c>
    </row>
    <row r="1653" spans="1:3" x14ac:dyDescent="0.25">
      <c r="A1653" t="s">
        <v>2</v>
      </c>
      <c r="B1653" t="s">
        <v>21</v>
      </c>
    </row>
    <row r="1655" spans="1:3" x14ac:dyDescent="0.25">
      <c r="A1655" t="s">
        <v>4</v>
      </c>
      <c r="B1655" t="s">
        <v>5</v>
      </c>
    </row>
    <row r="1657" spans="1:3" x14ac:dyDescent="0.25">
      <c r="A1657" t="s">
        <v>7</v>
      </c>
      <c r="B1657" t="s">
        <v>19</v>
      </c>
      <c r="C1657" t="str">
        <f>A1657&amp;B1657</f>
        <v>launch4.VBSscript5</v>
      </c>
    </row>
    <row r="1659" spans="1:3" x14ac:dyDescent="0.25">
      <c r="A1659" t="s">
        <v>2</v>
      </c>
      <c r="B1659" t="s">
        <v>18</v>
      </c>
    </row>
    <row r="1661" spans="1:3" x14ac:dyDescent="0.25">
      <c r="A1661" t="s">
        <v>4</v>
      </c>
      <c r="B1661" t="s">
        <v>13</v>
      </c>
    </row>
    <row r="1663" spans="1:3" x14ac:dyDescent="0.25">
      <c r="A1663" t="s">
        <v>4</v>
      </c>
      <c r="B1663" t="s">
        <v>15</v>
      </c>
    </row>
    <row r="1665" spans="1:3" x14ac:dyDescent="0.25">
      <c r="A1665" t="s">
        <v>17</v>
      </c>
      <c r="B1665" t="s">
        <v>9</v>
      </c>
      <c r="C1665" t="str">
        <f>A1665&amp;B1665</f>
        <v>launch2.VBSscript14</v>
      </c>
    </row>
    <row r="1667" spans="1:3" x14ac:dyDescent="0.25">
      <c r="A1667" t="s">
        <v>20</v>
      </c>
      <c r="B1667" t="s">
        <v>16</v>
      </c>
      <c r="C1667" t="str">
        <f>A1667&amp;B1667</f>
        <v>launch3.VBSscript2</v>
      </c>
    </row>
    <row r="1669" spans="1:3" x14ac:dyDescent="0.25">
      <c r="A1669" t="s">
        <v>12</v>
      </c>
      <c r="B1669" t="s">
        <v>11</v>
      </c>
      <c r="C1669" t="str">
        <f>A1669&amp;B1669</f>
        <v>launch1.VBSscript11</v>
      </c>
    </row>
    <row r="1671" spans="1:3" x14ac:dyDescent="0.25">
      <c r="A1671" t="s">
        <v>2</v>
      </c>
      <c r="B1671" t="s">
        <v>14</v>
      </c>
    </row>
    <row r="1673" spans="1:3" x14ac:dyDescent="0.25">
      <c r="A1673" t="s">
        <v>4</v>
      </c>
      <c r="B1673" t="s">
        <v>8</v>
      </c>
    </row>
    <row r="1675" spans="1:3" x14ac:dyDescent="0.25">
      <c r="A1675" t="s">
        <v>2</v>
      </c>
      <c r="B1675" t="s">
        <v>1</v>
      </c>
    </row>
    <row r="1677" spans="1:3" x14ac:dyDescent="0.25">
      <c r="A1677" t="s">
        <v>2</v>
      </c>
      <c r="B1677" t="s">
        <v>22</v>
      </c>
    </row>
    <row r="1679" spans="1:3" x14ac:dyDescent="0.25">
      <c r="A1679" t="s">
        <v>10</v>
      </c>
      <c r="B1679" t="s">
        <v>6</v>
      </c>
      <c r="C1679" t="str">
        <f>A1679&amp;B1679</f>
        <v>launch5.VBSscript8</v>
      </c>
    </row>
    <row r="1681" spans="1:3" x14ac:dyDescent="0.25">
      <c r="A1681" t="s">
        <v>4</v>
      </c>
      <c r="B1681" t="s">
        <v>3</v>
      </c>
    </row>
    <row r="1684" spans="1:3" x14ac:dyDescent="0.25">
      <c r="A1684" t="s">
        <v>73</v>
      </c>
    </row>
    <row r="1686" spans="1:3" x14ac:dyDescent="0.25">
      <c r="A1686" t="s">
        <v>2</v>
      </c>
      <c r="B1686" t="s">
        <v>16</v>
      </c>
    </row>
    <row r="1688" spans="1:3" x14ac:dyDescent="0.25">
      <c r="A1688" t="s">
        <v>4</v>
      </c>
      <c r="B1688" t="s">
        <v>8</v>
      </c>
    </row>
    <row r="1690" spans="1:3" x14ac:dyDescent="0.25">
      <c r="A1690" t="s">
        <v>17</v>
      </c>
      <c r="B1690" t="s">
        <v>18</v>
      </c>
      <c r="C1690" t="str">
        <f>A1690&amp;B1690</f>
        <v>launch2.VBSscript15</v>
      </c>
    </row>
    <row r="1692" spans="1:3" x14ac:dyDescent="0.25">
      <c r="A1692" t="s">
        <v>7</v>
      </c>
      <c r="B1692" t="s">
        <v>14</v>
      </c>
      <c r="C1692" t="str">
        <f>A1692&amp;B1692</f>
        <v>launch4.VBSscript6</v>
      </c>
    </row>
    <row r="1694" spans="1:3" x14ac:dyDescent="0.25">
      <c r="A1694" t="s">
        <v>2</v>
      </c>
      <c r="B1694" t="s">
        <v>19</v>
      </c>
    </row>
    <row r="1696" spans="1:3" x14ac:dyDescent="0.25">
      <c r="A1696" t="s">
        <v>2</v>
      </c>
      <c r="B1696" t="s">
        <v>9</v>
      </c>
    </row>
    <row r="1698" spans="1:3" x14ac:dyDescent="0.25">
      <c r="A1698" t="s">
        <v>20</v>
      </c>
      <c r="B1698" t="s">
        <v>21</v>
      </c>
      <c r="C1698" t="str">
        <f>A1698&amp;B1698</f>
        <v>launch3.VBSscript12</v>
      </c>
    </row>
    <row r="1700" spans="1:3" x14ac:dyDescent="0.25">
      <c r="A1700" t="s">
        <v>2</v>
      </c>
      <c r="B1700" t="s">
        <v>11</v>
      </c>
    </row>
    <row r="1702" spans="1:3" x14ac:dyDescent="0.25">
      <c r="A1702" t="s">
        <v>4</v>
      </c>
      <c r="B1702" t="s">
        <v>3</v>
      </c>
    </row>
    <row r="1704" spans="1:3" x14ac:dyDescent="0.25">
      <c r="A1704" t="s">
        <v>4</v>
      </c>
      <c r="B1704" t="s">
        <v>15</v>
      </c>
    </row>
    <row r="1706" spans="1:3" x14ac:dyDescent="0.25">
      <c r="A1706" t="s">
        <v>12</v>
      </c>
      <c r="B1706" t="s">
        <v>22</v>
      </c>
      <c r="C1706" t="str">
        <f>A1706&amp;B1706</f>
        <v>launch1.VBSscript3</v>
      </c>
    </row>
    <row r="1708" spans="1:3" x14ac:dyDescent="0.25">
      <c r="A1708" t="s">
        <v>2</v>
      </c>
      <c r="B1708" t="s">
        <v>6</v>
      </c>
    </row>
    <row r="1710" spans="1:3" x14ac:dyDescent="0.25">
      <c r="A1710" t="s">
        <v>10</v>
      </c>
      <c r="B1710" t="s">
        <v>1</v>
      </c>
      <c r="C1710" t="str">
        <f>A1710&amp;B1710</f>
        <v>launch5.VBSscript9</v>
      </c>
    </row>
    <row r="1712" spans="1:3" x14ac:dyDescent="0.25">
      <c r="A1712" t="s">
        <v>4</v>
      </c>
      <c r="B1712" t="s">
        <v>13</v>
      </c>
    </row>
    <row r="1714" spans="1:3" x14ac:dyDescent="0.25">
      <c r="A1714" t="s">
        <v>4</v>
      </c>
      <c r="B1714" t="s">
        <v>5</v>
      </c>
    </row>
    <row r="1717" spans="1:3" x14ac:dyDescent="0.25">
      <c r="A1717" t="s">
        <v>74</v>
      </c>
    </row>
    <row r="1719" spans="1:3" x14ac:dyDescent="0.25">
      <c r="A1719" t="s">
        <v>4</v>
      </c>
      <c r="B1719" t="s">
        <v>11</v>
      </c>
    </row>
    <row r="1721" spans="1:3" x14ac:dyDescent="0.25">
      <c r="A1721" t="s">
        <v>2</v>
      </c>
      <c r="B1721" t="s">
        <v>21</v>
      </c>
    </row>
    <row r="1723" spans="1:3" x14ac:dyDescent="0.25">
      <c r="A1723" t="s">
        <v>4</v>
      </c>
      <c r="B1723" t="s">
        <v>9</v>
      </c>
    </row>
    <row r="1725" spans="1:3" x14ac:dyDescent="0.25">
      <c r="A1725" t="s">
        <v>20</v>
      </c>
      <c r="B1725" t="s">
        <v>13</v>
      </c>
      <c r="C1725" t="str">
        <f>A1725&amp;B1725</f>
        <v>launch3.VBSscript10</v>
      </c>
    </row>
    <row r="1727" spans="1:3" x14ac:dyDescent="0.25">
      <c r="A1727" t="s">
        <v>4</v>
      </c>
      <c r="B1727" t="s">
        <v>16</v>
      </c>
    </row>
    <row r="1729" spans="1:3" x14ac:dyDescent="0.25">
      <c r="A1729" t="s">
        <v>2</v>
      </c>
      <c r="B1729" t="s">
        <v>14</v>
      </c>
    </row>
    <row r="1731" spans="1:3" x14ac:dyDescent="0.25">
      <c r="A1731" t="s">
        <v>7</v>
      </c>
      <c r="B1731" t="s">
        <v>8</v>
      </c>
      <c r="C1731" t="str">
        <f>A1731&amp;B1731</f>
        <v>launch4.VBSscript4</v>
      </c>
    </row>
    <row r="1733" spans="1:3" x14ac:dyDescent="0.25">
      <c r="A1733" t="s">
        <v>4</v>
      </c>
      <c r="B1733" t="s">
        <v>19</v>
      </c>
    </row>
    <row r="1735" spans="1:3" x14ac:dyDescent="0.25">
      <c r="A1735" t="s">
        <v>12</v>
      </c>
      <c r="B1735" t="s">
        <v>3</v>
      </c>
      <c r="C1735" t="str">
        <f>A1735&amp;B1735</f>
        <v>launch1.VBSscript7</v>
      </c>
    </row>
    <row r="1737" spans="1:3" x14ac:dyDescent="0.25">
      <c r="A1737" t="s">
        <v>10</v>
      </c>
      <c r="B1737" t="s">
        <v>15</v>
      </c>
      <c r="C1737" t="str">
        <f>A1737&amp;B1737</f>
        <v>launch5.VBSscript1</v>
      </c>
    </row>
    <row r="1739" spans="1:3" x14ac:dyDescent="0.25">
      <c r="A1739" t="s">
        <v>2</v>
      </c>
      <c r="B1739" t="s">
        <v>22</v>
      </c>
    </row>
    <row r="1741" spans="1:3" x14ac:dyDescent="0.25">
      <c r="A1741" t="s">
        <v>4</v>
      </c>
      <c r="B1741" t="s">
        <v>6</v>
      </c>
    </row>
    <row r="1743" spans="1:3" x14ac:dyDescent="0.25">
      <c r="A1743" t="s">
        <v>2</v>
      </c>
      <c r="B1743" t="s">
        <v>1</v>
      </c>
    </row>
    <row r="1745" spans="1:3" x14ac:dyDescent="0.25">
      <c r="A1745" t="s">
        <v>2</v>
      </c>
      <c r="B1745" t="s">
        <v>18</v>
      </c>
    </row>
    <row r="1747" spans="1:3" x14ac:dyDescent="0.25">
      <c r="A1747" t="s">
        <v>17</v>
      </c>
      <c r="B1747" t="s">
        <v>5</v>
      </c>
      <c r="C1747" t="str">
        <f>A1747&amp;B1747</f>
        <v>launch2.VBSscript13</v>
      </c>
    </row>
    <row r="1750" spans="1:3" x14ac:dyDescent="0.25">
      <c r="A1750" t="s">
        <v>75</v>
      </c>
    </row>
    <row r="1752" spans="1:3" x14ac:dyDescent="0.25">
      <c r="A1752" t="s">
        <v>4</v>
      </c>
      <c r="B1752" t="s">
        <v>1</v>
      </c>
    </row>
    <row r="1754" spans="1:3" x14ac:dyDescent="0.25">
      <c r="A1754" t="s">
        <v>7</v>
      </c>
      <c r="B1754" t="s">
        <v>15</v>
      </c>
      <c r="C1754" t="str">
        <f>A1754&amp;B1754</f>
        <v>launch4.VBSscript1</v>
      </c>
    </row>
    <row r="1756" spans="1:3" x14ac:dyDescent="0.25">
      <c r="A1756" t="s">
        <v>20</v>
      </c>
      <c r="B1756" t="s">
        <v>3</v>
      </c>
      <c r="C1756" t="str">
        <f>A1756&amp;B1756</f>
        <v>launch3.VBSscript7</v>
      </c>
    </row>
    <row r="1758" spans="1:3" x14ac:dyDescent="0.25">
      <c r="A1758" t="s">
        <v>4</v>
      </c>
      <c r="B1758" t="s">
        <v>14</v>
      </c>
    </row>
    <row r="1760" spans="1:3" x14ac:dyDescent="0.25">
      <c r="A1760" t="s">
        <v>4</v>
      </c>
      <c r="B1760" t="s">
        <v>22</v>
      </c>
    </row>
    <row r="1762" spans="1:3" x14ac:dyDescent="0.25">
      <c r="A1762" t="s">
        <v>2</v>
      </c>
      <c r="B1762" t="s">
        <v>16</v>
      </c>
    </row>
    <row r="1764" spans="1:3" x14ac:dyDescent="0.25">
      <c r="A1764" t="s">
        <v>2</v>
      </c>
      <c r="B1764" t="s">
        <v>19</v>
      </c>
    </row>
    <row r="1766" spans="1:3" x14ac:dyDescent="0.25">
      <c r="A1766" t="s">
        <v>2</v>
      </c>
      <c r="B1766" t="s">
        <v>9</v>
      </c>
    </row>
    <row r="1768" spans="1:3" x14ac:dyDescent="0.25">
      <c r="A1768" t="s">
        <v>2</v>
      </c>
      <c r="B1768" t="s">
        <v>11</v>
      </c>
    </row>
    <row r="1770" spans="1:3" x14ac:dyDescent="0.25">
      <c r="A1770" t="s">
        <v>4</v>
      </c>
      <c r="B1770" t="s">
        <v>21</v>
      </c>
    </row>
    <row r="1772" spans="1:3" x14ac:dyDescent="0.25">
      <c r="A1772" t="s">
        <v>10</v>
      </c>
      <c r="B1772" t="s">
        <v>13</v>
      </c>
      <c r="C1772" t="str">
        <f>A1772&amp;B1772</f>
        <v>launch5.VBSscript10</v>
      </c>
    </row>
    <row r="1774" spans="1:3" x14ac:dyDescent="0.25">
      <c r="A1774" t="s">
        <v>17</v>
      </c>
      <c r="B1774" t="s">
        <v>8</v>
      </c>
      <c r="C1774" t="str">
        <f>A1774&amp;B1774</f>
        <v>launch2.VBSscript4</v>
      </c>
    </row>
    <row r="1776" spans="1:3" x14ac:dyDescent="0.25">
      <c r="A1776" t="s">
        <v>2</v>
      </c>
      <c r="B1776" t="s">
        <v>6</v>
      </c>
    </row>
    <row r="1778" spans="1:3" x14ac:dyDescent="0.25">
      <c r="A1778" t="s">
        <v>4</v>
      </c>
      <c r="B1778" t="s">
        <v>18</v>
      </c>
    </row>
    <row r="1780" spans="1:3" x14ac:dyDescent="0.25">
      <c r="A1780" t="s">
        <v>12</v>
      </c>
      <c r="B1780" t="s">
        <v>5</v>
      </c>
      <c r="C1780" t="str">
        <f>A1780&amp;B1780</f>
        <v>launch1.VBSscript13</v>
      </c>
    </row>
    <row r="1783" spans="1:3" x14ac:dyDescent="0.25">
      <c r="A1783" t="s">
        <v>76</v>
      </c>
    </row>
    <row r="1785" spans="1:3" x14ac:dyDescent="0.25">
      <c r="A1785" t="s">
        <v>2</v>
      </c>
      <c r="B1785" t="s">
        <v>8</v>
      </c>
    </row>
    <row r="1787" spans="1:3" x14ac:dyDescent="0.25">
      <c r="A1787" t="s">
        <v>12</v>
      </c>
      <c r="B1787" t="s">
        <v>18</v>
      </c>
      <c r="C1787" t="str">
        <f>A1787&amp;B1787</f>
        <v>launch1.VBSscript15</v>
      </c>
    </row>
    <row r="1789" spans="1:3" x14ac:dyDescent="0.25">
      <c r="A1789" t="s">
        <v>20</v>
      </c>
      <c r="B1789" t="s">
        <v>1</v>
      </c>
      <c r="C1789" t="str">
        <f>A1789&amp;B1789</f>
        <v>launch3.VBSscript9</v>
      </c>
    </row>
    <row r="1791" spans="1:3" x14ac:dyDescent="0.25">
      <c r="A1791" t="s">
        <v>17</v>
      </c>
      <c r="B1791" t="s">
        <v>14</v>
      </c>
      <c r="C1791" t="str">
        <f>A1791&amp;B1791</f>
        <v>launch2.VBSscript6</v>
      </c>
    </row>
    <row r="1793" spans="1:3" x14ac:dyDescent="0.25">
      <c r="A1793" t="s">
        <v>2</v>
      </c>
      <c r="B1793" t="s">
        <v>5</v>
      </c>
    </row>
    <row r="1795" spans="1:3" x14ac:dyDescent="0.25">
      <c r="A1795" t="s">
        <v>4</v>
      </c>
      <c r="B1795" t="s">
        <v>11</v>
      </c>
    </row>
    <row r="1797" spans="1:3" x14ac:dyDescent="0.25">
      <c r="A1797" t="s">
        <v>4</v>
      </c>
      <c r="B1797" t="s">
        <v>19</v>
      </c>
    </row>
    <row r="1799" spans="1:3" x14ac:dyDescent="0.25">
      <c r="A1799" t="s">
        <v>4</v>
      </c>
      <c r="B1799" t="s">
        <v>6</v>
      </c>
    </row>
    <row r="1801" spans="1:3" x14ac:dyDescent="0.25">
      <c r="A1801" t="s">
        <v>2</v>
      </c>
      <c r="B1801" t="s">
        <v>3</v>
      </c>
    </row>
    <row r="1803" spans="1:3" x14ac:dyDescent="0.25">
      <c r="A1803" t="s">
        <v>7</v>
      </c>
      <c r="B1803" t="s">
        <v>22</v>
      </c>
      <c r="C1803" t="str">
        <f>A1803&amp;B1803</f>
        <v>launch4.VBSscript3</v>
      </c>
    </row>
    <row r="1805" spans="1:3" x14ac:dyDescent="0.25">
      <c r="A1805" t="s">
        <v>2</v>
      </c>
      <c r="B1805" t="s">
        <v>15</v>
      </c>
    </row>
    <row r="1807" spans="1:3" x14ac:dyDescent="0.25">
      <c r="A1807" t="s">
        <v>10</v>
      </c>
      <c r="B1807" t="s">
        <v>21</v>
      </c>
      <c r="C1807" t="str">
        <f>A1807&amp;B1807</f>
        <v>launch5.VBSscript12</v>
      </c>
    </row>
    <row r="1809" spans="1:3" x14ac:dyDescent="0.25">
      <c r="A1809" t="s">
        <v>4</v>
      </c>
      <c r="B1809" t="s">
        <v>9</v>
      </c>
    </row>
    <row r="1811" spans="1:3" x14ac:dyDescent="0.25">
      <c r="A1811" t="s">
        <v>4</v>
      </c>
      <c r="B1811" t="s">
        <v>16</v>
      </c>
    </row>
    <row r="1813" spans="1:3" x14ac:dyDescent="0.25">
      <c r="A1813" t="s">
        <v>2</v>
      </c>
      <c r="B1813" t="s">
        <v>13</v>
      </c>
    </row>
    <row r="1816" spans="1:3" x14ac:dyDescent="0.25">
      <c r="A1816" t="s">
        <v>77</v>
      </c>
    </row>
    <row r="1818" spans="1:3" x14ac:dyDescent="0.25">
      <c r="A1818" t="s">
        <v>4</v>
      </c>
      <c r="B1818" t="s">
        <v>18</v>
      </c>
    </row>
    <row r="1820" spans="1:3" x14ac:dyDescent="0.25">
      <c r="A1820" t="s">
        <v>17</v>
      </c>
      <c r="B1820" t="s">
        <v>19</v>
      </c>
      <c r="C1820" t="str">
        <f>A1820&amp;B1820</f>
        <v>launch2.VBSscript5</v>
      </c>
    </row>
    <row r="1822" spans="1:3" x14ac:dyDescent="0.25">
      <c r="A1822" t="s">
        <v>2</v>
      </c>
      <c r="B1822" t="s">
        <v>5</v>
      </c>
    </row>
    <row r="1824" spans="1:3" x14ac:dyDescent="0.25">
      <c r="A1824" t="s">
        <v>2</v>
      </c>
      <c r="B1824" t="s">
        <v>15</v>
      </c>
    </row>
    <row r="1826" spans="1:3" x14ac:dyDescent="0.25">
      <c r="A1826" t="s">
        <v>12</v>
      </c>
      <c r="B1826" t="s">
        <v>16</v>
      </c>
      <c r="C1826" t="str">
        <f>A1826&amp;B1826</f>
        <v>launch1.VBSscript2</v>
      </c>
    </row>
    <row r="1828" spans="1:3" x14ac:dyDescent="0.25">
      <c r="A1828" t="s">
        <v>4</v>
      </c>
      <c r="B1828" t="s">
        <v>1</v>
      </c>
    </row>
    <row r="1830" spans="1:3" x14ac:dyDescent="0.25">
      <c r="A1830" t="s">
        <v>4</v>
      </c>
      <c r="B1830" t="s">
        <v>22</v>
      </c>
    </row>
    <row r="1832" spans="1:3" x14ac:dyDescent="0.25">
      <c r="A1832" t="s">
        <v>4</v>
      </c>
      <c r="B1832" t="s">
        <v>14</v>
      </c>
    </row>
    <row r="1834" spans="1:3" x14ac:dyDescent="0.25">
      <c r="A1834" t="s">
        <v>2</v>
      </c>
      <c r="B1834" t="s">
        <v>3</v>
      </c>
    </row>
    <row r="1836" spans="1:3" x14ac:dyDescent="0.25">
      <c r="A1836" t="s">
        <v>20</v>
      </c>
      <c r="B1836" t="s">
        <v>9</v>
      </c>
      <c r="C1836" t="str">
        <f>A1836&amp;B1836</f>
        <v>launch3.VBSscript14</v>
      </c>
    </row>
    <row r="1838" spans="1:3" x14ac:dyDescent="0.25">
      <c r="A1838" t="s">
        <v>2</v>
      </c>
      <c r="B1838" t="s">
        <v>13</v>
      </c>
    </row>
    <row r="1840" spans="1:3" x14ac:dyDescent="0.25">
      <c r="A1840" t="s">
        <v>4</v>
      </c>
      <c r="B1840" t="s">
        <v>21</v>
      </c>
    </row>
    <row r="1842" spans="1:3" x14ac:dyDescent="0.25">
      <c r="A1842" t="s">
        <v>2</v>
      </c>
      <c r="B1842" t="s">
        <v>8</v>
      </c>
    </row>
    <row r="1844" spans="1:3" x14ac:dyDescent="0.25">
      <c r="A1844" t="s">
        <v>10</v>
      </c>
      <c r="B1844" t="s">
        <v>11</v>
      </c>
      <c r="C1844" t="str">
        <f>A1844&amp;B1844</f>
        <v>launch5.VBSscript11</v>
      </c>
    </row>
    <row r="1846" spans="1:3" x14ac:dyDescent="0.25">
      <c r="A1846" t="s">
        <v>7</v>
      </c>
      <c r="B1846" t="s">
        <v>6</v>
      </c>
      <c r="C1846" t="str">
        <f>A1846&amp;B1846</f>
        <v>launch4.VBSscript8</v>
      </c>
    </row>
    <row r="1849" spans="1:3" x14ac:dyDescent="0.25">
      <c r="A1849" t="s">
        <v>78</v>
      </c>
    </row>
    <row r="1851" spans="1:3" x14ac:dyDescent="0.25">
      <c r="A1851" t="s">
        <v>12</v>
      </c>
      <c r="B1851" t="s">
        <v>9</v>
      </c>
      <c r="C1851" t="str">
        <f>A1851&amp;B1851</f>
        <v>launch1.VBSscript14</v>
      </c>
    </row>
    <row r="1853" spans="1:3" x14ac:dyDescent="0.25">
      <c r="A1853" t="s">
        <v>2</v>
      </c>
      <c r="B1853" t="s">
        <v>13</v>
      </c>
    </row>
    <row r="1855" spans="1:3" x14ac:dyDescent="0.25">
      <c r="A1855" t="s">
        <v>4</v>
      </c>
      <c r="B1855" t="s">
        <v>22</v>
      </c>
    </row>
    <row r="1857" spans="1:3" x14ac:dyDescent="0.25">
      <c r="A1857" t="s">
        <v>10</v>
      </c>
      <c r="B1857" t="s">
        <v>19</v>
      </c>
      <c r="C1857" t="str">
        <f>A1857&amp;B1857</f>
        <v>launch5.VBSscript5</v>
      </c>
    </row>
    <row r="1859" spans="1:3" x14ac:dyDescent="0.25">
      <c r="A1859" t="s">
        <v>2</v>
      </c>
      <c r="B1859" t="s">
        <v>5</v>
      </c>
    </row>
    <row r="1861" spans="1:3" x14ac:dyDescent="0.25">
      <c r="A1861" t="s">
        <v>2</v>
      </c>
      <c r="B1861" t="s">
        <v>3</v>
      </c>
    </row>
    <row r="1863" spans="1:3" x14ac:dyDescent="0.25">
      <c r="A1863" t="s">
        <v>20</v>
      </c>
      <c r="B1863" t="s">
        <v>6</v>
      </c>
      <c r="C1863" t="str">
        <f>A1863&amp;B1863</f>
        <v>launch3.VBSscript8</v>
      </c>
    </row>
    <row r="1865" spans="1:3" x14ac:dyDescent="0.25">
      <c r="A1865" t="s">
        <v>17</v>
      </c>
      <c r="B1865" t="s">
        <v>11</v>
      </c>
      <c r="C1865" t="str">
        <f>A1865&amp;B1865</f>
        <v>launch2.VBSscript11</v>
      </c>
    </row>
    <row r="1867" spans="1:3" x14ac:dyDescent="0.25">
      <c r="A1867" t="s">
        <v>2</v>
      </c>
      <c r="B1867" t="s">
        <v>8</v>
      </c>
    </row>
    <row r="1869" spans="1:3" x14ac:dyDescent="0.25">
      <c r="A1869" t="s">
        <v>4</v>
      </c>
      <c r="B1869" t="s">
        <v>14</v>
      </c>
    </row>
    <row r="1871" spans="1:3" x14ac:dyDescent="0.25">
      <c r="A1871" t="s">
        <v>4</v>
      </c>
      <c r="B1871" t="s">
        <v>21</v>
      </c>
    </row>
    <row r="1873" spans="1:3" x14ac:dyDescent="0.25">
      <c r="A1873" t="s">
        <v>2</v>
      </c>
      <c r="B1873" t="s">
        <v>15</v>
      </c>
    </row>
    <row r="1875" spans="1:3" x14ac:dyDescent="0.25">
      <c r="A1875" t="s">
        <v>4</v>
      </c>
      <c r="B1875" t="s">
        <v>18</v>
      </c>
    </row>
    <row r="1877" spans="1:3" x14ac:dyDescent="0.25">
      <c r="A1877" t="s">
        <v>4</v>
      </c>
      <c r="B1877" t="s">
        <v>1</v>
      </c>
    </row>
    <row r="1879" spans="1:3" x14ac:dyDescent="0.25">
      <c r="A1879" t="s">
        <v>7</v>
      </c>
      <c r="B1879" t="s">
        <v>16</v>
      </c>
      <c r="C1879" t="str">
        <f>A1879&amp;B1879</f>
        <v>launch4.VBSscript2</v>
      </c>
    </row>
    <row r="1882" spans="1:3" x14ac:dyDescent="0.25">
      <c r="A1882" t="s">
        <v>79</v>
      </c>
    </row>
    <row r="1884" spans="1:3" x14ac:dyDescent="0.25">
      <c r="A1884" t="s">
        <v>10</v>
      </c>
      <c r="B1884" t="s">
        <v>9</v>
      </c>
      <c r="C1884" t="str">
        <f>A1884&amp;B1884</f>
        <v>launch5.VBSscript14</v>
      </c>
    </row>
    <row r="1886" spans="1:3" x14ac:dyDescent="0.25">
      <c r="A1886" t="s">
        <v>4</v>
      </c>
      <c r="B1886" t="s">
        <v>5</v>
      </c>
    </row>
    <row r="1888" spans="1:3" x14ac:dyDescent="0.25">
      <c r="A1888" t="s">
        <v>4</v>
      </c>
      <c r="B1888" t="s">
        <v>13</v>
      </c>
    </row>
    <row r="1890" spans="1:3" x14ac:dyDescent="0.25">
      <c r="A1890" t="s">
        <v>2</v>
      </c>
      <c r="B1890" t="s">
        <v>1</v>
      </c>
    </row>
    <row r="1892" spans="1:3" x14ac:dyDescent="0.25">
      <c r="A1892" t="s">
        <v>2</v>
      </c>
      <c r="B1892" t="s">
        <v>18</v>
      </c>
    </row>
    <row r="1894" spans="1:3" x14ac:dyDescent="0.25">
      <c r="A1894" t="s">
        <v>2</v>
      </c>
      <c r="B1894" t="s">
        <v>21</v>
      </c>
    </row>
    <row r="1896" spans="1:3" x14ac:dyDescent="0.25">
      <c r="A1896" t="s">
        <v>20</v>
      </c>
      <c r="B1896" t="s">
        <v>16</v>
      </c>
      <c r="C1896" t="str">
        <f>A1896&amp;B1896</f>
        <v>launch3.VBSscript2</v>
      </c>
    </row>
    <row r="1898" spans="1:3" x14ac:dyDescent="0.25">
      <c r="A1898" t="s">
        <v>2</v>
      </c>
      <c r="B1898" t="s">
        <v>22</v>
      </c>
    </row>
    <row r="1900" spans="1:3" x14ac:dyDescent="0.25">
      <c r="A1900" t="s">
        <v>12</v>
      </c>
      <c r="B1900" t="s">
        <v>11</v>
      </c>
      <c r="C1900" t="str">
        <f>A1900&amp;B1900</f>
        <v>launch1.VBSscript11</v>
      </c>
    </row>
    <row r="1902" spans="1:3" x14ac:dyDescent="0.25">
      <c r="A1902" t="s">
        <v>4</v>
      </c>
      <c r="B1902" t="s">
        <v>3</v>
      </c>
    </row>
    <row r="1904" spans="1:3" x14ac:dyDescent="0.25">
      <c r="A1904" t="s">
        <v>17</v>
      </c>
      <c r="B1904" t="s">
        <v>6</v>
      </c>
      <c r="C1904" t="str">
        <f>A1904&amp;B1904</f>
        <v>launch2.VBSscript8</v>
      </c>
    </row>
    <row r="1906" spans="1:3" x14ac:dyDescent="0.25">
      <c r="A1906" t="s">
        <v>2</v>
      </c>
      <c r="B1906" t="s">
        <v>14</v>
      </c>
    </row>
    <row r="1908" spans="1:3" x14ac:dyDescent="0.25">
      <c r="A1908" t="s">
        <v>7</v>
      </c>
      <c r="B1908" t="s">
        <v>19</v>
      </c>
      <c r="C1908" t="str">
        <f>A1908&amp;B1908</f>
        <v>launch4.VBSscript5</v>
      </c>
    </row>
    <row r="1910" spans="1:3" x14ac:dyDescent="0.25">
      <c r="A1910" t="s">
        <v>4</v>
      </c>
      <c r="B1910" t="s">
        <v>15</v>
      </c>
    </row>
    <row r="1912" spans="1:3" x14ac:dyDescent="0.25">
      <c r="A1912" t="s">
        <v>4</v>
      </c>
      <c r="B1912" t="s">
        <v>8</v>
      </c>
    </row>
    <row r="1915" spans="1:3" x14ac:dyDescent="0.25">
      <c r="A1915" t="s">
        <v>80</v>
      </c>
    </row>
    <row r="1917" spans="1:3" x14ac:dyDescent="0.25">
      <c r="A1917" t="s">
        <v>4</v>
      </c>
      <c r="B1917" t="s">
        <v>8</v>
      </c>
    </row>
    <row r="1919" spans="1:3" x14ac:dyDescent="0.25">
      <c r="A1919" t="s">
        <v>4</v>
      </c>
      <c r="B1919" t="s">
        <v>5</v>
      </c>
    </row>
    <row r="1921" spans="1:3" x14ac:dyDescent="0.25">
      <c r="A1921" t="s">
        <v>4</v>
      </c>
      <c r="B1921" t="s">
        <v>15</v>
      </c>
    </row>
    <row r="1923" spans="1:3" x14ac:dyDescent="0.25">
      <c r="A1923" t="s">
        <v>7</v>
      </c>
      <c r="B1923" t="s">
        <v>14</v>
      </c>
      <c r="C1923" t="str">
        <f>A1923&amp;B1923</f>
        <v>launch4.VBSscript6</v>
      </c>
    </row>
    <row r="1925" spans="1:3" x14ac:dyDescent="0.25">
      <c r="A1925" t="s">
        <v>17</v>
      </c>
      <c r="B1925" t="s">
        <v>22</v>
      </c>
      <c r="C1925" t="str">
        <f>A1925&amp;B1925</f>
        <v>launch2.VBSscript3</v>
      </c>
    </row>
    <row r="1927" spans="1:3" x14ac:dyDescent="0.25">
      <c r="A1927" t="s">
        <v>4</v>
      </c>
      <c r="B1927" t="s">
        <v>3</v>
      </c>
    </row>
    <row r="1929" spans="1:3" x14ac:dyDescent="0.25">
      <c r="A1929" t="s">
        <v>2</v>
      </c>
      <c r="B1929" t="s">
        <v>11</v>
      </c>
    </row>
    <row r="1931" spans="1:3" x14ac:dyDescent="0.25">
      <c r="A1931" t="s">
        <v>2</v>
      </c>
      <c r="B1931" t="s">
        <v>19</v>
      </c>
    </row>
    <row r="1933" spans="1:3" x14ac:dyDescent="0.25">
      <c r="A1933" t="s">
        <v>2</v>
      </c>
      <c r="B1933" t="s">
        <v>6</v>
      </c>
    </row>
    <row r="1935" spans="1:3" x14ac:dyDescent="0.25">
      <c r="A1935" t="s">
        <v>4</v>
      </c>
      <c r="B1935" t="s">
        <v>13</v>
      </c>
    </row>
    <row r="1937" spans="1:3" x14ac:dyDescent="0.25">
      <c r="A1937" t="s">
        <v>10</v>
      </c>
      <c r="B1937" t="s">
        <v>18</v>
      </c>
      <c r="C1937" t="str">
        <f>A1937&amp;B1937</f>
        <v>launch5.VBSscript15</v>
      </c>
    </row>
    <row r="1939" spans="1:3" x14ac:dyDescent="0.25">
      <c r="A1939" t="s">
        <v>2</v>
      </c>
      <c r="B1939" t="s">
        <v>9</v>
      </c>
    </row>
    <row r="1941" spans="1:3" x14ac:dyDescent="0.25">
      <c r="A1941" t="s">
        <v>2</v>
      </c>
      <c r="B1941" t="s">
        <v>16</v>
      </c>
    </row>
    <row r="1943" spans="1:3" x14ac:dyDescent="0.25">
      <c r="A1943" t="s">
        <v>20</v>
      </c>
      <c r="B1943" t="s">
        <v>21</v>
      </c>
      <c r="C1943" t="str">
        <f>A1943&amp;B1943</f>
        <v>launch3.VBSscript12</v>
      </c>
    </row>
    <row r="1945" spans="1:3" x14ac:dyDescent="0.25">
      <c r="A1945" t="s">
        <v>12</v>
      </c>
      <c r="B1945" t="s">
        <v>1</v>
      </c>
      <c r="C1945" t="str">
        <f>A1945&amp;B1945</f>
        <v>launch1.VBSscript9</v>
      </c>
    </row>
    <row r="1948" spans="1:3" x14ac:dyDescent="0.25">
      <c r="A1948" t="s">
        <v>81</v>
      </c>
    </row>
    <row r="1950" spans="1:3" x14ac:dyDescent="0.25">
      <c r="A1950" t="s">
        <v>10</v>
      </c>
      <c r="B1950" t="s">
        <v>5</v>
      </c>
      <c r="C1950" t="str">
        <f>A1950&amp;B1950</f>
        <v>launch5.VBSscript13</v>
      </c>
    </row>
    <row r="1952" spans="1:3" x14ac:dyDescent="0.25">
      <c r="A1952" t="s">
        <v>17</v>
      </c>
      <c r="B1952" t="s">
        <v>3</v>
      </c>
      <c r="C1952" t="str">
        <f>A1952&amp;B1952</f>
        <v>launch2.VBSscript7</v>
      </c>
    </row>
    <row r="1954" spans="1:3" x14ac:dyDescent="0.25">
      <c r="A1954" t="s">
        <v>2</v>
      </c>
      <c r="B1954" t="s">
        <v>18</v>
      </c>
    </row>
    <row r="1956" spans="1:3" x14ac:dyDescent="0.25">
      <c r="A1956" t="s">
        <v>12</v>
      </c>
      <c r="B1956" t="s">
        <v>15</v>
      </c>
      <c r="C1956" t="str">
        <f>A1956&amp;B1956</f>
        <v>launch1.VBSscript1</v>
      </c>
    </row>
    <row r="1958" spans="1:3" x14ac:dyDescent="0.25">
      <c r="A1958" t="s">
        <v>20</v>
      </c>
      <c r="B1958" t="s">
        <v>13</v>
      </c>
      <c r="C1958" t="str">
        <f>A1958&amp;B1958</f>
        <v>launch3.VBSscript10</v>
      </c>
    </row>
    <row r="1960" spans="1:3" x14ac:dyDescent="0.25">
      <c r="A1960" t="s">
        <v>2</v>
      </c>
      <c r="B1960" t="s">
        <v>22</v>
      </c>
    </row>
    <row r="1962" spans="1:3" x14ac:dyDescent="0.25">
      <c r="A1962" t="s">
        <v>2</v>
      </c>
      <c r="B1962" t="s">
        <v>1</v>
      </c>
    </row>
    <row r="1964" spans="1:3" x14ac:dyDescent="0.25">
      <c r="A1964" t="s">
        <v>4</v>
      </c>
      <c r="B1964" t="s">
        <v>19</v>
      </c>
    </row>
    <row r="1966" spans="1:3" x14ac:dyDescent="0.25">
      <c r="A1966" t="s">
        <v>2</v>
      </c>
      <c r="B1966" t="s">
        <v>21</v>
      </c>
    </row>
    <row r="1968" spans="1:3" x14ac:dyDescent="0.25">
      <c r="A1968" t="s">
        <v>4</v>
      </c>
      <c r="B1968" t="s">
        <v>11</v>
      </c>
    </row>
    <row r="1970" spans="1:3" x14ac:dyDescent="0.25">
      <c r="A1970" t="s">
        <v>4</v>
      </c>
      <c r="B1970" t="s">
        <v>9</v>
      </c>
    </row>
    <row r="1972" spans="1:3" x14ac:dyDescent="0.25">
      <c r="A1972" t="s">
        <v>2</v>
      </c>
      <c r="B1972" t="s">
        <v>14</v>
      </c>
    </row>
    <row r="1974" spans="1:3" x14ac:dyDescent="0.25">
      <c r="A1974" t="s">
        <v>4</v>
      </c>
      <c r="B1974" t="s">
        <v>16</v>
      </c>
    </row>
    <row r="1976" spans="1:3" x14ac:dyDescent="0.25">
      <c r="A1976" t="s">
        <v>7</v>
      </c>
      <c r="B1976" t="s">
        <v>8</v>
      </c>
      <c r="C1976" t="str">
        <f>A1976&amp;B1976</f>
        <v>launch4.VBSscript4</v>
      </c>
    </row>
    <row r="1978" spans="1:3" x14ac:dyDescent="0.25">
      <c r="A1978" t="s">
        <v>4</v>
      </c>
    </row>
    <row r="1979" spans="1:3" x14ac:dyDescent="0.25">
      <c r="C1979" t="s">
        <v>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75"/>
  <sheetViews>
    <sheetView topLeftCell="A55" workbookViewId="0">
      <selection activeCell="E71" sqref="E71:E75"/>
    </sheetView>
  </sheetViews>
  <sheetFormatPr defaultRowHeight="15" x14ac:dyDescent="0.25"/>
  <cols>
    <col min="4" max="4" width="18.5703125" customWidth="1"/>
  </cols>
  <sheetData>
    <row r="1" spans="1:5" x14ac:dyDescent="0.25">
      <c r="A1" t="s">
        <v>103</v>
      </c>
      <c r="B1" t="s">
        <v>104</v>
      </c>
      <c r="C1" t="s">
        <v>15</v>
      </c>
      <c r="D1" t="str">
        <f>A1&amp;B1&amp;C1</f>
        <v>launch1.VBSscript1</v>
      </c>
      <c r="E1" t="str">
        <f>"=COUNTIF(C:C,"&amp;""""&amp;D1&amp;""""&amp;")"</f>
        <v>=COUNTIF(C:C,"launch1.VBSscript1")</v>
      </c>
    </row>
    <row r="2" spans="1:5" x14ac:dyDescent="0.25">
      <c r="A2" t="s">
        <v>105</v>
      </c>
      <c r="B2" t="s">
        <v>104</v>
      </c>
      <c r="C2" t="s">
        <v>15</v>
      </c>
      <c r="D2" t="str">
        <f t="shared" ref="D2:D65" si="0">A2&amp;B2&amp;C2</f>
        <v>launch2.VBSscript1</v>
      </c>
      <c r="E2" t="str">
        <f t="shared" ref="E2:E65" si="1">"=COUNTIF(C:C,"&amp;""""&amp;D2&amp;""""&amp;")"</f>
        <v>=COUNTIF(C:C,"launch2.VBSscript1")</v>
      </c>
    </row>
    <row r="3" spans="1:5" x14ac:dyDescent="0.25">
      <c r="A3" t="s">
        <v>106</v>
      </c>
      <c r="B3" t="s">
        <v>104</v>
      </c>
      <c r="C3" t="s">
        <v>15</v>
      </c>
      <c r="D3" t="str">
        <f t="shared" si="0"/>
        <v>launch3.VBSscript1</v>
      </c>
      <c r="E3" t="str">
        <f t="shared" si="1"/>
        <v>=COUNTIF(C:C,"launch3.VBSscript1")</v>
      </c>
    </row>
    <row r="4" spans="1:5" x14ac:dyDescent="0.25">
      <c r="A4" t="s">
        <v>107</v>
      </c>
      <c r="B4" t="s">
        <v>104</v>
      </c>
      <c r="C4" t="s">
        <v>15</v>
      </c>
      <c r="D4" t="str">
        <f t="shared" si="0"/>
        <v>launch4.VBSscript1</v>
      </c>
      <c r="E4" t="str">
        <f t="shared" si="1"/>
        <v>=COUNTIF(C:C,"launch4.VBSscript1")</v>
      </c>
    </row>
    <row r="5" spans="1:5" x14ac:dyDescent="0.25">
      <c r="A5" t="s">
        <v>108</v>
      </c>
      <c r="B5" t="s">
        <v>104</v>
      </c>
      <c r="C5" t="s">
        <v>15</v>
      </c>
      <c r="D5" t="str">
        <f t="shared" si="0"/>
        <v>launch5.VBSscript1</v>
      </c>
      <c r="E5" t="str">
        <f t="shared" si="1"/>
        <v>=COUNTIF(C:C,"launch5.VBSscript1")</v>
      </c>
    </row>
    <row r="6" spans="1:5" x14ac:dyDescent="0.25">
      <c r="A6" t="s">
        <v>103</v>
      </c>
      <c r="B6" t="s">
        <v>104</v>
      </c>
      <c r="C6" t="s">
        <v>16</v>
      </c>
      <c r="D6" t="str">
        <f t="shared" si="0"/>
        <v>launch1.VBSscript2</v>
      </c>
      <c r="E6" t="str">
        <f t="shared" si="1"/>
        <v>=COUNTIF(C:C,"launch1.VBSscript2")</v>
      </c>
    </row>
    <row r="7" spans="1:5" x14ac:dyDescent="0.25">
      <c r="A7" t="s">
        <v>105</v>
      </c>
      <c r="B7" t="s">
        <v>104</v>
      </c>
      <c r="C7" t="s">
        <v>16</v>
      </c>
      <c r="D7" t="str">
        <f t="shared" si="0"/>
        <v>launch2.VBSscript2</v>
      </c>
      <c r="E7" t="str">
        <f t="shared" si="1"/>
        <v>=COUNTIF(C:C,"launch2.VBSscript2")</v>
      </c>
    </row>
    <row r="8" spans="1:5" x14ac:dyDescent="0.25">
      <c r="A8" t="s">
        <v>106</v>
      </c>
      <c r="B8" t="s">
        <v>104</v>
      </c>
      <c r="C8" t="s">
        <v>16</v>
      </c>
      <c r="D8" t="str">
        <f t="shared" si="0"/>
        <v>launch3.VBSscript2</v>
      </c>
      <c r="E8" t="str">
        <f t="shared" si="1"/>
        <v>=COUNTIF(C:C,"launch3.VBSscript2")</v>
      </c>
    </row>
    <row r="9" spans="1:5" x14ac:dyDescent="0.25">
      <c r="A9" t="s">
        <v>107</v>
      </c>
      <c r="B9" t="s">
        <v>104</v>
      </c>
      <c r="C9" t="s">
        <v>16</v>
      </c>
      <c r="D9" t="str">
        <f t="shared" si="0"/>
        <v>launch4.VBSscript2</v>
      </c>
      <c r="E9" t="str">
        <f t="shared" si="1"/>
        <v>=COUNTIF(C:C,"launch4.VBSscript2")</v>
      </c>
    </row>
    <row r="10" spans="1:5" x14ac:dyDescent="0.25">
      <c r="A10" t="s">
        <v>108</v>
      </c>
      <c r="B10" t="s">
        <v>104</v>
      </c>
      <c r="C10" t="s">
        <v>16</v>
      </c>
      <c r="D10" t="str">
        <f t="shared" si="0"/>
        <v>launch5.VBSscript2</v>
      </c>
      <c r="E10" t="str">
        <f t="shared" si="1"/>
        <v>=COUNTIF(C:C,"launch5.VBSscript2")</v>
      </c>
    </row>
    <row r="11" spans="1:5" x14ac:dyDescent="0.25">
      <c r="A11" t="s">
        <v>103</v>
      </c>
      <c r="B11" t="s">
        <v>104</v>
      </c>
      <c r="C11" t="s">
        <v>22</v>
      </c>
      <c r="D11" t="str">
        <f t="shared" si="0"/>
        <v>launch1.VBSscript3</v>
      </c>
      <c r="E11" t="str">
        <f t="shared" si="1"/>
        <v>=COUNTIF(C:C,"launch1.VBSscript3")</v>
      </c>
    </row>
    <row r="12" spans="1:5" x14ac:dyDescent="0.25">
      <c r="A12" t="s">
        <v>105</v>
      </c>
      <c r="B12" t="s">
        <v>104</v>
      </c>
      <c r="C12" t="s">
        <v>22</v>
      </c>
      <c r="D12" t="str">
        <f t="shared" si="0"/>
        <v>launch2.VBSscript3</v>
      </c>
      <c r="E12" t="str">
        <f t="shared" si="1"/>
        <v>=COUNTIF(C:C,"launch2.VBSscript3")</v>
      </c>
    </row>
    <row r="13" spans="1:5" x14ac:dyDescent="0.25">
      <c r="A13" t="s">
        <v>106</v>
      </c>
      <c r="B13" t="s">
        <v>104</v>
      </c>
      <c r="C13" t="s">
        <v>22</v>
      </c>
      <c r="D13" t="str">
        <f t="shared" si="0"/>
        <v>launch3.VBSscript3</v>
      </c>
      <c r="E13" t="str">
        <f t="shared" si="1"/>
        <v>=COUNTIF(C:C,"launch3.VBSscript3")</v>
      </c>
    </row>
    <row r="14" spans="1:5" x14ac:dyDescent="0.25">
      <c r="A14" t="s">
        <v>107</v>
      </c>
      <c r="B14" t="s">
        <v>104</v>
      </c>
      <c r="C14" t="s">
        <v>22</v>
      </c>
      <c r="D14" t="str">
        <f t="shared" si="0"/>
        <v>launch4.VBSscript3</v>
      </c>
      <c r="E14" t="str">
        <f t="shared" si="1"/>
        <v>=COUNTIF(C:C,"launch4.VBSscript3")</v>
      </c>
    </row>
    <row r="15" spans="1:5" x14ac:dyDescent="0.25">
      <c r="A15" t="s">
        <v>108</v>
      </c>
      <c r="B15" t="s">
        <v>104</v>
      </c>
      <c r="C15" t="s">
        <v>22</v>
      </c>
      <c r="D15" t="str">
        <f t="shared" si="0"/>
        <v>launch5.VBSscript3</v>
      </c>
      <c r="E15" t="str">
        <f t="shared" si="1"/>
        <v>=COUNTIF(C:C,"launch5.VBSscript3")</v>
      </c>
    </row>
    <row r="16" spans="1:5" x14ac:dyDescent="0.25">
      <c r="A16" t="s">
        <v>103</v>
      </c>
      <c r="B16" t="s">
        <v>104</v>
      </c>
      <c r="C16" t="s">
        <v>8</v>
      </c>
      <c r="D16" t="str">
        <f t="shared" si="0"/>
        <v>launch1.VBSscript4</v>
      </c>
      <c r="E16" t="str">
        <f t="shared" si="1"/>
        <v>=COUNTIF(C:C,"launch1.VBSscript4")</v>
      </c>
    </row>
    <row r="17" spans="1:5" x14ac:dyDescent="0.25">
      <c r="A17" t="s">
        <v>105</v>
      </c>
      <c r="B17" t="s">
        <v>104</v>
      </c>
      <c r="C17" t="s">
        <v>8</v>
      </c>
      <c r="D17" t="str">
        <f t="shared" si="0"/>
        <v>launch2.VBSscript4</v>
      </c>
      <c r="E17" t="str">
        <f t="shared" si="1"/>
        <v>=COUNTIF(C:C,"launch2.VBSscript4")</v>
      </c>
    </row>
    <row r="18" spans="1:5" x14ac:dyDescent="0.25">
      <c r="A18" t="s">
        <v>106</v>
      </c>
      <c r="B18" t="s">
        <v>104</v>
      </c>
      <c r="C18" t="s">
        <v>8</v>
      </c>
      <c r="D18" t="str">
        <f t="shared" si="0"/>
        <v>launch3.VBSscript4</v>
      </c>
      <c r="E18" t="str">
        <f t="shared" si="1"/>
        <v>=COUNTIF(C:C,"launch3.VBSscript4")</v>
      </c>
    </row>
    <row r="19" spans="1:5" x14ac:dyDescent="0.25">
      <c r="A19" t="s">
        <v>107</v>
      </c>
      <c r="B19" t="s">
        <v>104</v>
      </c>
      <c r="C19" t="s">
        <v>8</v>
      </c>
      <c r="D19" t="str">
        <f t="shared" si="0"/>
        <v>launch4.VBSscript4</v>
      </c>
      <c r="E19" t="str">
        <f t="shared" si="1"/>
        <v>=COUNTIF(C:C,"launch4.VBSscript4")</v>
      </c>
    </row>
    <row r="20" spans="1:5" x14ac:dyDescent="0.25">
      <c r="A20" t="s">
        <v>108</v>
      </c>
      <c r="B20" t="s">
        <v>104</v>
      </c>
      <c r="C20" t="s">
        <v>8</v>
      </c>
      <c r="D20" t="str">
        <f t="shared" si="0"/>
        <v>launch5.VBSscript4</v>
      </c>
      <c r="E20" t="str">
        <f t="shared" si="1"/>
        <v>=COUNTIF(C:C,"launch5.VBSscript4")</v>
      </c>
    </row>
    <row r="21" spans="1:5" x14ac:dyDescent="0.25">
      <c r="A21" t="s">
        <v>103</v>
      </c>
      <c r="B21" t="s">
        <v>104</v>
      </c>
      <c r="C21" t="s">
        <v>19</v>
      </c>
      <c r="D21" t="str">
        <f t="shared" si="0"/>
        <v>launch1.VBSscript5</v>
      </c>
      <c r="E21" t="str">
        <f t="shared" si="1"/>
        <v>=COUNTIF(C:C,"launch1.VBSscript5")</v>
      </c>
    </row>
    <row r="22" spans="1:5" x14ac:dyDescent="0.25">
      <c r="A22" t="s">
        <v>105</v>
      </c>
      <c r="B22" t="s">
        <v>104</v>
      </c>
      <c r="C22" t="s">
        <v>19</v>
      </c>
      <c r="D22" t="str">
        <f t="shared" si="0"/>
        <v>launch2.VBSscript5</v>
      </c>
      <c r="E22" t="str">
        <f t="shared" si="1"/>
        <v>=COUNTIF(C:C,"launch2.VBSscript5")</v>
      </c>
    </row>
    <row r="23" spans="1:5" x14ac:dyDescent="0.25">
      <c r="A23" t="s">
        <v>106</v>
      </c>
      <c r="B23" t="s">
        <v>104</v>
      </c>
      <c r="C23" t="s">
        <v>19</v>
      </c>
      <c r="D23" t="str">
        <f t="shared" si="0"/>
        <v>launch3.VBSscript5</v>
      </c>
      <c r="E23" t="str">
        <f t="shared" si="1"/>
        <v>=COUNTIF(C:C,"launch3.VBSscript5")</v>
      </c>
    </row>
    <row r="24" spans="1:5" x14ac:dyDescent="0.25">
      <c r="A24" t="s">
        <v>107</v>
      </c>
      <c r="B24" t="s">
        <v>104</v>
      </c>
      <c r="C24" t="s">
        <v>19</v>
      </c>
      <c r="D24" t="str">
        <f t="shared" si="0"/>
        <v>launch4.VBSscript5</v>
      </c>
      <c r="E24" t="str">
        <f t="shared" si="1"/>
        <v>=COUNTIF(C:C,"launch4.VBSscript5")</v>
      </c>
    </row>
    <row r="25" spans="1:5" x14ac:dyDescent="0.25">
      <c r="A25" t="s">
        <v>108</v>
      </c>
      <c r="B25" t="s">
        <v>104</v>
      </c>
      <c r="C25" t="s">
        <v>19</v>
      </c>
      <c r="D25" t="str">
        <f t="shared" si="0"/>
        <v>launch5.VBSscript5</v>
      </c>
      <c r="E25" t="str">
        <f t="shared" si="1"/>
        <v>=COUNTIF(C:C,"launch5.VBSscript5")</v>
      </c>
    </row>
    <row r="26" spans="1:5" x14ac:dyDescent="0.25">
      <c r="A26" t="s">
        <v>103</v>
      </c>
      <c r="B26" t="s">
        <v>104</v>
      </c>
      <c r="C26" t="s">
        <v>14</v>
      </c>
      <c r="D26" t="str">
        <f t="shared" si="0"/>
        <v>launch1.VBSscript6</v>
      </c>
      <c r="E26" t="str">
        <f t="shared" si="1"/>
        <v>=COUNTIF(C:C,"launch1.VBSscript6")</v>
      </c>
    </row>
    <row r="27" spans="1:5" x14ac:dyDescent="0.25">
      <c r="A27" t="s">
        <v>105</v>
      </c>
      <c r="B27" t="s">
        <v>104</v>
      </c>
      <c r="C27" t="s">
        <v>14</v>
      </c>
      <c r="D27" t="str">
        <f t="shared" si="0"/>
        <v>launch2.VBSscript6</v>
      </c>
      <c r="E27" t="str">
        <f t="shared" si="1"/>
        <v>=COUNTIF(C:C,"launch2.VBSscript6")</v>
      </c>
    </row>
    <row r="28" spans="1:5" x14ac:dyDescent="0.25">
      <c r="A28" t="s">
        <v>106</v>
      </c>
      <c r="B28" t="s">
        <v>104</v>
      </c>
      <c r="C28" t="s">
        <v>14</v>
      </c>
      <c r="D28" t="str">
        <f t="shared" si="0"/>
        <v>launch3.VBSscript6</v>
      </c>
      <c r="E28" t="str">
        <f t="shared" si="1"/>
        <v>=COUNTIF(C:C,"launch3.VBSscript6")</v>
      </c>
    </row>
    <row r="29" spans="1:5" x14ac:dyDescent="0.25">
      <c r="A29" t="s">
        <v>107</v>
      </c>
      <c r="B29" t="s">
        <v>104</v>
      </c>
      <c r="C29" t="s">
        <v>14</v>
      </c>
      <c r="D29" t="str">
        <f t="shared" si="0"/>
        <v>launch4.VBSscript6</v>
      </c>
      <c r="E29" t="str">
        <f t="shared" si="1"/>
        <v>=COUNTIF(C:C,"launch4.VBSscript6")</v>
      </c>
    </row>
    <row r="30" spans="1:5" x14ac:dyDescent="0.25">
      <c r="A30" t="s">
        <v>108</v>
      </c>
      <c r="B30" t="s">
        <v>104</v>
      </c>
      <c r="C30" t="s">
        <v>14</v>
      </c>
      <c r="D30" t="str">
        <f t="shared" si="0"/>
        <v>launch5.VBSscript6</v>
      </c>
      <c r="E30" t="str">
        <f t="shared" si="1"/>
        <v>=COUNTIF(C:C,"launch5.VBSscript6")</v>
      </c>
    </row>
    <row r="31" spans="1:5" x14ac:dyDescent="0.25">
      <c r="A31" t="s">
        <v>103</v>
      </c>
      <c r="B31" t="s">
        <v>104</v>
      </c>
      <c r="C31" t="s">
        <v>3</v>
      </c>
      <c r="D31" t="str">
        <f t="shared" si="0"/>
        <v>launch1.VBSscript7</v>
      </c>
      <c r="E31" t="str">
        <f t="shared" si="1"/>
        <v>=COUNTIF(C:C,"launch1.VBSscript7")</v>
      </c>
    </row>
    <row r="32" spans="1:5" x14ac:dyDescent="0.25">
      <c r="A32" t="s">
        <v>105</v>
      </c>
      <c r="B32" t="s">
        <v>104</v>
      </c>
      <c r="C32" t="s">
        <v>3</v>
      </c>
      <c r="D32" t="str">
        <f t="shared" si="0"/>
        <v>launch2.VBSscript7</v>
      </c>
      <c r="E32" t="str">
        <f t="shared" si="1"/>
        <v>=COUNTIF(C:C,"launch2.VBSscript7")</v>
      </c>
    </row>
    <row r="33" spans="1:5" x14ac:dyDescent="0.25">
      <c r="A33" t="s">
        <v>106</v>
      </c>
      <c r="B33" t="s">
        <v>104</v>
      </c>
      <c r="C33" t="s">
        <v>3</v>
      </c>
      <c r="D33" t="str">
        <f t="shared" si="0"/>
        <v>launch3.VBSscript7</v>
      </c>
      <c r="E33" t="str">
        <f t="shared" si="1"/>
        <v>=COUNTIF(C:C,"launch3.VBSscript7")</v>
      </c>
    </row>
    <row r="34" spans="1:5" x14ac:dyDescent="0.25">
      <c r="A34" t="s">
        <v>107</v>
      </c>
      <c r="B34" t="s">
        <v>104</v>
      </c>
      <c r="C34" t="s">
        <v>3</v>
      </c>
      <c r="D34" t="str">
        <f t="shared" si="0"/>
        <v>launch4.VBSscript7</v>
      </c>
      <c r="E34" t="str">
        <f t="shared" si="1"/>
        <v>=COUNTIF(C:C,"launch4.VBSscript7")</v>
      </c>
    </row>
    <row r="35" spans="1:5" x14ac:dyDescent="0.25">
      <c r="A35" t="s">
        <v>108</v>
      </c>
      <c r="B35" t="s">
        <v>104</v>
      </c>
      <c r="C35" t="s">
        <v>3</v>
      </c>
      <c r="D35" t="str">
        <f t="shared" si="0"/>
        <v>launch5.VBSscript7</v>
      </c>
      <c r="E35" t="str">
        <f t="shared" si="1"/>
        <v>=COUNTIF(C:C,"launch5.VBSscript7")</v>
      </c>
    </row>
    <row r="36" spans="1:5" x14ac:dyDescent="0.25">
      <c r="A36" t="s">
        <v>103</v>
      </c>
      <c r="B36" t="s">
        <v>104</v>
      </c>
      <c r="C36" t="s">
        <v>6</v>
      </c>
      <c r="D36" t="str">
        <f t="shared" si="0"/>
        <v>launch1.VBSscript8</v>
      </c>
      <c r="E36" t="str">
        <f t="shared" si="1"/>
        <v>=COUNTIF(C:C,"launch1.VBSscript8")</v>
      </c>
    </row>
    <row r="37" spans="1:5" x14ac:dyDescent="0.25">
      <c r="A37" t="s">
        <v>105</v>
      </c>
      <c r="B37" t="s">
        <v>104</v>
      </c>
      <c r="C37" t="s">
        <v>6</v>
      </c>
      <c r="D37" t="str">
        <f t="shared" si="0"/>
        <v>launch2.VBSscript8</v>
      </c>
      <c r="E37" t="str">
        <f t="shared" si="1"/>
        <v>=COUNTIF(C:C,"launch2.VBSscript8")</v>
      </c>
    </row>
    <row r="38" spans="1:5" x14ac:dyDescent="0.25">
      <c r="A38" t="s">
        <v>106</v>
      </c>
      <c r="B38" t="s">
        <v>104</v>
      </c>
      <c r="C38" t="s">
        <v>6</v>
      </c>
      <c r="D38" t="str">
        <f t="shared" si="0"/>
        <v>launch3.VBSscript8</v>
      </c>
      <c r="E38" t="str">
        <f t="shared" si="1"/>
        <v>=COUNTIF(C:C,"launch3.VBSscript8")</v>
      </c>
    </row>
    <row r="39" spans="1:5" x14ac:dyDescent="0.25">
      <c r="A39" t="s">
        <v>107</v>
      </c>
      <c r="B39" t="s">
        <v>104</v>
      </c>
      <c r="C39" t="s">
        <v>6</v>
      </c>
      <c r="D39" t="str">
        <f t="shared" si="0"/>
        <v>launch4.VBSscript8</v>
      </c>
      <c r="E39" t="str">
        <f t="shared" si="1"/>
        <v>=COUNTIF(C:C,"launch4.VBSscript8")</v>
      </c>
    </row>
    <row r="40" spans="1:5" x14ac:dyDescent="0.25">
      <c r="A40" t="s">
        <v>108</v>
      </c>
      <c r="B40" t="s">
        <v>104</v>
      </c>
      <c r="C40" t="s">
        <v>6</v>
      </c>
      <c r="D40" t="str">
        <f t="shared" si="0"/>
        <v>launch5.VBSscript8</v>
      </c>
      <c r="E40" t="str">
        <f t="shared" si="1"/>
        <v>=COUNTIF(C:C,"launch5.VBSscript8")</v>
      </c>
    </row>
    <row r="41" spans="1:5" x14ac:dyDescent="0.25">
      <c r="A41" t="s">
        <v>103</v>
      </c>
      <c r="B41" t="s">
        <v>104</v>
      </c>
      <c r="C41" t="s">
        <v>1</v>
      </c>
      <c r="D41" t="str">
        <f t="shared" si="0"/>
        <v>launch1.VBSscript9</v>
      </c>
      <c r="E41" t="str">
        <f t="shared" si="1"/>
        <v>=COUNTIF(C:C,"launch1.VBSscript9")</v>
      </c>
    </row>
    <row r="42" spans="1:5" x14ac:dyDescent="0.25">
      <c r="A42" t="s">
        <v>105</v>
      </c>
      <c r="B42" t="s">
        <v>104</v>
      </c>
      <c r="C42" t="s">
        <v>1</v>
      </c>
      <c r="D42" t="str">
        <f t="shared" si="0"/>
        <v>launch2.VBSscript9</v>
      </c>
      <c r="E42" t="str">
        <f t="shared" si="1"/>
        <v>=COUNTIF(C:C,"launch2.VBSscript9")</v>
      </c>
    </row>
    <row r="43" spans="1:5" x14ac:dyDescent="0.25">
      <c r="A43" t="s">
        <v>106</v>
      </c>
      <c r="B43" t="s">
        <v>104</v>
      </c>
      <c r="C43" t="s">
        <v>1</v>
      </c>
      <c r="D43" t="str">
        <f t="shared" si="0"/>
        <v>launch3.VBSscript9</v>
      </c>
      <c r="E43" t="str">
        <f t="shared" si="1"/>
        <v>=COUNTIF(C:C,"launch3.VBSscript9")</v>
      </c>
    </row>
    <row r="44" spans="1:5" x14ac:dyDescent="0.25">
      <c r="A44" t="s">
        <v>107</v>
      </c>
      <c r="B44" t="s">
        <v>104</v>
      </c>
      <c r="C44" t="s">
        <v>1</v>
      </c>
      <c r="D44" t="str">
        <f t="shared" si="0"/>
        <v>launch4.VBSscript9</v>
      </c>
      <c r="E44" t="str">
        <f t="shared" si="1"/>
        <v>=COUNTIF(C:C,"launch4.VBSscript9")</v>
      </c>
    </row>
    <row r="45" spans="1:5" x14ac:dyDescent="0.25">
      <c r="A45" t="s">
        <v>108</v>
      </c>
      <c r="B45" t="s">
        <v>104</v>
      </c>
      <c r="C45" t="s">
        <v>1</v>
      </c>
      <c r="D45" t="str">
        <f t="shared" si="0"/>
        <v>launch5.VBSscript9</v>
      </c>
      <c r="E45" t="str">
        <f t="shared" si="1"/>
        <v>=COUNTIF(C:C,"launch5.VBSscript9")</v>
      </c>
    </row>
    <row r="46" spans="1:5" x14ac:dyDescent="0.25">
      <c r="A46" t="s">
        <v>103</v>
      </c>
      <c r="B46" t="s">
        <v>104</v>
      </c>
      <c r="C46" t="s">
        <v>13</v>
      </c>
      <c r="D46" t="str">
        <f t="shared" si="0"/>
        <v>launch1.VBSscript10</v>
      </c>
      <c r="E46" t="str">
        <f t="shared" si="1"/>
        <v>=COUNTIF(C:C,"launch1.VBSscript10")</v>
      </c>
    </row>
    <row r="47" spans="1:5" x14ac:dyDescent="0.25">
      <c r="A47" t="s">
        <v>105</v>
      </c>
      <c r="B47" t="s">
        <v>104</v>
      </c>
      <c r="C47" t="s">
        <v>13</v>
      </c>
      <c r="D47" t="str">
        <f t="shared" si="0"/>
        <v>launch2.VBSscript10</v>
      </c>
      <c r="E47" t="str">
        <f t="shared" si="1"/>
        <v>=COUNTIF(C:C,"launch2.VBSscript10")</v>
      </c>
    </row>
    <row r="48" spans="1:5" x14ac:dyDescent="0.25">
      <c r="A48" t="s">
        <v>106</v>
      </c>
      <c r="B48" t="s">
        <v>104</v>
      </c>
      <c r="C48" t="s">
        <v>13</v>
      </c>
      <c r="D48" t="str">
        <f t="shared" si="0"/>
        <v>launch3.VBSscript10</v>
      </c>
      <c r="E48" t="str">
        <f t="shared" si="1"/>
        <v>=COUNTIF(C:C,"launch3.VBSscript10")</v>
      </c>
    </row>
    <row r="49" spans="1:5" x14ac:dyDescent="0.25">
      <c r="A49" t="s">
        <v>107</v>
      </c>
      <c r="B49" t="s">
        <v>104</v>
      </c>
      <c r="C49" t="s">
        <v>13</v>
      </c>
      <c r="D49" t="str">
        <f t="shared" si="0"/>
        <v>launch4.VBSscript10</v>
      </c>
      <c r="E49" t="str">
        <f t="shared" si="1"/>
        <v>=COUNTIF(C:C,"launch4.VBSscript10")</v>
      </c>
    </row>
    <row r="50" spans="1:5" x14ac:dyDescent="0.25">
      <c r="A50" t="s">
        <v>108</v>
      </c>
      <c r="B50" t="s">
        <v>104</v>
      </c>
      <c r="C50" t="s">
        <v>13</v>
      </c>
      <c r="D50" t="str">
        <f t="shared" si="0"/>
        <v>launch5.VBSscript10</v>
      </c>
      <c r="E50" t="str">
        <f t="shared" si="1"/>
        <v>=COUNTIF(C:C,"launch5.VBSscript10")</v>
      </c>
    </row>
    <row r="51" spans="1:5" x14ac:dyDescent="0.25">
      <c r="A51" t="s">
        <v>103</v>
      </c>
      <c r="B51" t="s">
        <v>104</v>
      </c>
      <c r="C51" t="s">
        <v>11</v>
      </c>
      <c r="D51" t="str">
        <f t="shared" si="0"/>
        <v>launch1.VBSscript11</v>
      </c>
      <c r="E51" t="str">
        <f t="shared" si="1"/>
        <v>=COUNTIF(C:C,"launch1.VBSscript11")</v>
      </c>
    </row>
    <row r="52" spans="1:5" x14ac:dyDescent="0.25">
      <c r="A52" t="s">
        <v>105</v>
      </c>
      <c r="B52" t="s">
        <v>104</v>
      </c>
      <c r="C52" t="s">
        <v>11</v>
      </c>
      <c r="D52" t="str">
        <f t="shared" si="0"/>
        <v>launch2.VBSscript11</v>
      </c>
      <c r="E52" t="str">
        <f t="shared" si="1"/>
        <v>=COUNTIF(C:C,"launch2.VBSscript11")</v>
      </c>
    </row>
    <row r="53" spans="1:5" x14ac:dyDescent="0.25">
      <c r="A53" t="s">
        <v>106</v>
      </c>
      <c r="B53" t="s">
        <v>104</v>
      </c>
      <c r="C53" t="s">
        <v>11</v>
      </c>
      <c r="D53" t="str">
        <f t="shared" si="0"/>
        <v>launch3.VBSscript11</v>
      </c>
      <c r="E53" t="str">
        <f t="shared" si="1"/>
        <v>=COUNTIF(C:C,"launch3.VBSscript11")</v>
      </c>
    </row>
    <row r="54" spans="1:5" x14ac:dyDescent="0.25">
      <c r="A54" t="s">
        <v>107</v>
      </c>
      <c r="B54" t="s">
        <v>104</v>
      </c>
      <c r="C54" t="s">
        <v>11</v>
      </c>
      <c r="D54" t="str">
        <f t="shared" si="0"/>
        <v>launch4.VBSscript11</v>
      </c>
      <c r="E54" t="str">
        <f t="shared" si="1"/>
        <v>=COUNTIF(C:C,"launch4.VBSscript11")</v>
      </c>
    </row>
    <row r="55" spans="1:5" x14ac:dyDescent="0.25">
      <c r="A55" t="s">
        <v>108</v>
      </c>
      <c r="B55" t="s">
        <v>104</v>
      </c>
      <c r="C55" t="s">
        <v>11</v>
      </c>
      <c r="D55" t="str">
        <f t="shared" si="0"/>
        <v>launch5.VBSscript11</v>
      </c>
      <c r="E55" t="str">
        <f t="shared" si="1"/>
        <v>=COUNTIF(C:C,"launch5.VBSscript11")</v>
      </c>
    </row>
    <row r="56" spans="1:5" x14ac:dyDescent="0.25">
      <c r="A56" t="s">
        <v>103</v>
      </c>
      <c r="B56" t="s">
        <v>104</v>
      </c>
      <c r="C56" t="s">
        <v>21</v>
      </c>
      <c r="D56" t="str">
        <f t="shared" si="0"/>
        <v>launch1.VBSscript12</v>
      </c>
      <c r="E56" t="str">
        <f t="shared" si="1"/>
        <v>=COUNTIF(C:C,"launch1.VBSscript12")</v>
      </c>
    </row>
    <row r="57" spans="1:5" x14ac:dyDescent="0.25">
      <c r="A57" t="s">
        <v>105</v>
      </c>
      <c r="B57" t="s">
        <v>104</v>
      </c>
      <c r="C57" t="s">
        <v>21</v>
      </c>
      <c r="D57" t="str">
        <f t="shared" si="0"/>
        <v>launch2.VBSscript12</v>
      </c>
      <c r="E57" t="str">
        <f t="shared" si="1"/>
        <v>=COUNTIF(C:C,"launch2.VBSscript12")</v>
      </c>
    </row>
    <row r="58" spans="1:5" x14ac:dyDescent="0.25">
      <c r="A58" t="s">
        <v>106</v>
      </c>
      <c r="B58" t="s">
        <v>104</v>
      </c>
      <c r="C58" t="s">
        <v>21</v>
      </c>
      <c r="D58" t="str">
        <f t="shared" si="0"/>
        <v>launch3.VBSscript12</v>
      </c>
      <c r="E58" t="str">
        <f t="shared" si="1"/>
        <v>=COUNTIF(C:C,"launch3.VBSscript12")</v>
      </c>
    </row>
    <row r="59" spans="1:5" x14ac:dyDescent="0.25">
      <c r="A59" t="s">
        <v>107</v>
      </c>
      <c r="B59" t="s">
        <v>104</v>
      </c>
      <c r="C59" t="s">
        <v>21</v>
      </c>
      <c r="D59" t="str">
        <f t="shared" si="0"/>
        <v>launch4.VBSscript12</v>
      </c>
      <c r="E59" t="str">
        <f t="shared" si="1"/>
        <v>=COUNTIF(C:C,"launch4.VBSscript12")</v>
      </c>
    </row>
    <row r="60" spans="1:5" x14ac:dyDescent="0.25">
      <c r="A60" t="s">
        <v>108</v>
      </c>
      <c r="B60" t="s">
        <v>104</v>
      </c>
      <c r="C60" t="s">
        <v>21</v>
      </c>
      <c r="D60" t="str">
        <f t="shared" si="0"/>
        <v>launch5.VBSscript12</v>
      </c>
      <c r="E60" t="str">
        <f t="shared" si="1"/>
        <v>=COUNTIF(C:C,"launch5.VBSscript12")</v>
      </c>
    </row>
    <row r="61" spans="1:5" x14ac:dyDescent="0.25">
      <c r="A61" t="s">
        <v>103</v>
      </c>
      <c r="B61" t="s">
        <v>104</v>
      </c>
      <c r="C61" t="s">
        <v>5</v>
      </c>
      <c r="D61" t="str">
        <f t="shared" si="0"/>
        <v>launch1.VBSscript13</v>
      </c>
      <c r="E61" t="str">
        <f t="shared" si="1"/>
        <v>=COUNTIF(C:C,"launch1.VBSscript13")</v>
      </c>
    </row>
    <row r="62" spans="1:5" x14ac:dyDescent="0.25">
      <c r="A62" t="s">
        <v>105</v>
      </c>
      <c r="B62" t="s">
        <v>104</v>
      </c>
      <c r="C62" t="s">
        <v>5</v>
      </c>
      <c r="D62" t="str">
        <f t="shared" si="0"/>
        <v>launch2.VBSscript13</v>
      </c>
      <c r="E62" t="str">
        <f t="shared" si="1"/>
        <v>=COUNTIF(C:C,"launch2.VBSscript13")</v>
      </c>
    </row>
    <row r="63" spans="1:5" x14ac:dyDescent="0.25">
      <c r="A63" t="s">
        <v>106</v>
      </c>
      <c r="B63" t="s">
        <v>104</v>
      </c>
      <c r="C63" t="s">
        <v>5</v>
      </c>
      <c r="D63" t="str">
        <f t="shared" si="0"/>
        <v>launch3.VBSscript13</v>
      </c>
      <c r="E63" t="str">
        <f t="shared" si="1"/>
        <v>=COUNTIF(C:C,"launch3.VBSscript13")</v>
      </c>
    </row>
    <row r="64" spans="1:5" x14ac:dyDescent="0.25">
      <c r="A64" t="s">
        <v>107</v>
      </c>
      <c r="B64" t="s">
        <v>104</v>
      </c>
      <c r="C64" t="s">
        <v>5</v>
      </c>
      <c r="D64" t="str">
        <f t="shared" si="0"/>
        <v>launch4.VBSscript13</v>
      </c>
      <c r="E64" t="str">
        <f t="shared" si="1"/>
        <v>=COUNTIF(C:C,"launch4.VBSscript13")</v>
      </c>
    </row>
    <row r="65" spans="1:5" x14ac:dyDescent="0.25">
      <c r="A65" t="s">
        <v>108</v>
      </c>
      <c r="B65" t="s">
        <v>104</v>
      </c>
      <c r="C65" t="s">
        <v>5</v>
      </c>
      <c r="D65" t="str">
        <f t="shared" si="0"/>
        <v>launch5.VBSscript13</v>
      </c>
      <c r="E65" t="str">
        <f t="shared" si="1"/>
        <v>=COUNTIF(C:C,"launch5.VBSscript13")</v>
      </c>
    </row>
    <row r="66" spans="1:5" x14ac:dyDescent="0.25">
      <c r="A66" t="s">
        <v>103</v>
      </c>
      <c r="B66" t="s">
        <v>104</v>
      </c>
      <c r="C66" t="s">
        <v>9</v>
      </c>
      <c r="D66" t="str">
        <f t="shared" ref="D66:D75" si="2">A66&amp;B66&amp;C66</f>
        <v>launch1.VBSscript14</v>
      </c>
      <c r="E66" t="str">
        <f t="shared" ref="E66:E75" si="3">"=COUNTIF(C:C,"&amp;""""&amp;D66&amp;""""&amp;")"</f>
        <v>=COUNTIF(C:C,"launch1.VBSscript14")</v>
      </c>
    </row>
    <row r="67" spans="1:5" x14ac:dyDescent="0.25">
      <c r="A67" t="s">
        <v>105</v>
      </c>
      <c r="B67" t="s">
        <v>104</v>
      </c>
      <c r="C67" t="s">
        <v>9</v>
      </c>
      <c r="D67" t="str">
        <f t="shared" si="2"/>
        <v>launch2.VBSscript14</v>
      </c>
      <c r="E67" t="str">
        <f t="shared" si="3"/>
        <v>=COUNTIF(C:C,"launch2.VBSscript14")</v>
      </c>
    </row>
    <row r="68" spans="1:5" x14ac:dyDescent="0.25">
      <c r="A68" t="s">
        <v>106</v>
      </c>
      <c r="B68" t="s">
        <v>104</v>
      </c>
      <c r="C68" t="s">
        <v>9</v>
      </c>
      <c r="D68" t="str">
        <f t="shared" si="2"/>
        <v>launch3.VBSscript14</v>
      </c>
      <c r="E68" t="str">
        <f t="shared" si="3"/>
        <v>=COUNTIF(C:C,"launch3.VBSscript14")</v>
      </c>
    </row>
    <row r="69" spans="1:5" x14ac:dyDescent="0.25">
      <c r="A69" t="s">
        <v>107</v>
      </c>
      <c r="B69" t="s">
        <v>104</v>
      </c>
      <c r="C69" t="s">
        <v>9</v>
      </c>
      <c r="D69" t="str">
        <f t="shared" si="2"/>
        <v>launch4.VBSscript14</v>
      </c>
      <c r="E69" t="str">
        <f t="shared" si="3"/>
        <v>=COUNTIF(C:C,"launch4.VBSscript14")</v>
      </c>
    </row>
    <row r="70" spans="1:5" x14ac:dyDescent="0.25">
      <c r="A70" t="s">
        <v>108</v>
      </c>
      <c r="B70" t="s">
        <v>104</v>
      </c>
      <c r="C70" t="s">
        <v>9</v>
      </c>
      <c r="D70" t="str">
        <f t="shared" si="2"/>
        <v>launch5.VBSscript14</v>
      </c>
      <c r="E70" t="str">
        <f t="shared" si="3"/>
        <v>=COUNTIF(C:C,"launch5.VBSscript14")</v>
      </c>
    </row>
    <row r="71" spans="1:5" x14ac:dyDescent="0.25">
      <c r="A71" t="s">
        <v>103</v>
      </c>
      <c r="B71" t="s">
        <v>104</v>
      </c>
      <c r="C71" t="s">
        <v>18</v>
      </c>
      <c r="D71" t="str">
        <f t="shared" si="2"/>
        <v>launch1.VBSscript15</v>
      </c>
      <c r="E71" t="str">
        <f t="shared" si="3"/>
        <v>=COUNTIF(C:C,"launch1.VBSscript15")</v>
      </c>
    </row>
    <row r="72" spans="1:5" x14ac:dyDescent="0.25">
      <c r="A72" t="s">
        <v>105</v>
      </c>
      <c r="B72" t="s">
        <v>104</v>
      </c>
      <c r="C72" t="s">
        <v>18</v>
      </c>
      <c r="D72" t="str">
        <f t="shared" si="2"/>
        <v>launch2.VBSscript15</v>
      </c>
      <c r="E72" t="str">
        <f t="shared" si="3"/>
        <v>=COUNTIF(C:C,"launch2.VBSscript15")</v>
      </c>
    </row>
    <row r="73" spans="1:5" x14ac:dyDescent="0.25">
      <c r="A73" t="s">
        <v>106</v>
      </c>
      <c r="B73" t="s">
        <v>104</v>
      </c>
      <c r="C73" t="s">
        <v>18</v>
      </c>
      <c r="D73" t="str">
        <f t="shared" si="2"/>
        <v>launch3.VBSscript15</v>
      </c>
      <c r="E73" t="str">
        <f t="shared" si="3"/>
        <v>=COUNTIF(C:C,"launch3.VBSscript15")</v>
      </c>
    </row>
    <row r="74" spans="1:5" x14ac:dyDescent="0.25">
      <c r="A74" t="s">
        <v>107</v>
      </c>
      <c r="B74" t="s">
        <v>104</v>
      </c>
      <c r="C74" t="s">
        <v>18</v>
      </c>
      <c r="D74" t="str">
        <f t="shared" si="2"/>
        <v>launch4.VBSscript15</v>
      </c>
      <c r="E74" t="str">
        <f t="shared" si="3"/>
        <v>=COUNTIF(C:C,"launch4.VBSscript15")</v>
      </c>
    </row>
    <row r="75" spans="1:5" x14ac:dyDescent="0.25">
      <c r="A75" t="s">
        <v>108</v>
      </c>
      <c r="B75" t="s">
        <v>104</v>
      </c>
      <c r="C75" t="s">
        <v>18</v>
      </c>
      <c r="D75" t="str">
        <f t="shared" si="2"/>
        <v>launch5.VBSscript15</v>
      </c>
      <c r="E75" t="str">
        <f t="shared" si="3"/>
        <v>=COUNTIF(C:C,"launch5.VBSscript15")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2:Q11"/>
  <sheetViews>
    <sheetView tabSelected="1" workbookViewId="0">
      <selection activeCell="A13" sqref="A13:A72"/>
    </sheetView>
  </sheetViews>
  <sheetFormatPr defaultRowHeight="15" x14ac:dyDescent="0.25"/>
  <sheetData>
    <row r="2" spans="1:17" x14ac:dyDescent="0.25">
      <c r="B2" t="s">
        <v>97</v>
      </c>
    </row>
    <row r="3" spans="1:17" x14ac:dyDescent="0.25">
      <c r="B3" s="1" t="s">
        <v>82</v>
      </c>
      <c r="C3" s="1" t="s">
        <v>83</v>
      </c>
      <c r="D3" s="1" t="s">
        <v>84</v>
      </c>
      <c r="E3" s="1" t="s">
        <v>85</v>
      </c>
      <c r="F3" s="1" t="s">
        <v>86</v>
      </c>
      <c r="G3" s="1" t="s">
        <v>87</v>
      </c>
      <c r="H3" s="1" t="s">
        <v>88</v>
      </c>
      <c r="I3" s="1" t="s">
        <v>89</v>
      </c>
      <c r="J3" s="1" t="s">
        <v>90</v>
      </c>
      <c r="K3" s="1" t="s">
        <v>91</v>
      </c>
      <c r="L3" s="1" t="s">
        <v>92</v>
      </c>
      <c r="M3" s="1" t="s">
        <v>93</v>
      </c>
      <c r="N3" s="1" t="s">
        <v>94</v>
      </c>
      <c r="O3" s="1" t="s">
        <v>95</v>
      </c>
      <c r="P3" s="1" t="s">
        <v>96</v>
      </c>
      <c r="Q3" s="1" t="s">
        <v>109</v>
      </c>
    </row>
    <row r="4" spans="1:17" x14ac:dyDescent="0.25">
      <c r="A4" s="1" t="s">
        <v>98</v>
      </c>
      <c r="B4" s="1">
        <v>3</v>
      </c>
      <c r="C4" s="1">
        <v>5</v>
      </c>
      <c r="D4" s="1">
        <v>5</v>
      </c>
      <c r="E4" s="1">
        <v>6</v>
      </c>
      <c r="F4" s="1">
        <v>3</v>
      </c>
      <c r="G4" s="1">
        <v>3</v>
      </c>
      <c r="H4" s="1">
        <v>3</v>
      </c>
      <c r="I4" s="1">
        <v>1</v>
      </c>
      <c r="J4" s="1">
        <v>4</v>
      </c>
      <c r="K4" s="1">
        <v>0</v>
      </c>
      <c r="L4" s="1">
        <v>6</v>
      </c>
      <c r="M4" s="1">
        <v>5</v>
      </c>
      <c r="N4" s="1">
        <v>8</v>
      </c>
      <c r="O4" s="1">
        <v>5</v>
      </c>
      <c r="P4" s="1">
        <v>3</v>
      </c>
      <c r="Q4" s="1">
        <v>60</v>
      </c>
    </row>
    <row r="5" spans="1:17" x14ac:dyDescent="0.25">
      <c r="A5" s="1" t="s">
        <v>99</v>
      </c>
      <c r="B5" s="1">
        <v>2</v>
      </c>
      <c r="C5" s="1">
        <v>2</v>
      </c>
      <c r="D5" s="1">
        <v>6</v>
      </c>
      <c r="E5" s="1">
        <v>4</v>
      </c>
      <c r="F5" s="1">
        <v>3</v>
      </c>
      <c r="G5" s="1">
        <v>5</v>
      </c>
      <c r="H5" s="1">
        <v>4</v>
      </c>
      <c r="I5" s="1">
        <v>7</v>
      </c>
      <c r="J5" s="1">
        <v>3</v>
      </c>
      <c r="K5" s="1">
        <v>3</v>
      </c>
      <c r="L5" s="1">
        <v>5</v>
      </c>
      <c r="M5" s="1">
        <v>2</v>
      </c>
      <c r="N5" s="1">
        <v>7</v>
      </c>
      <c r="O5" s="1">
        <v>3</v>
      </c>
      <c r="P5" s="1">
        <v>4</v>
      </c>
      <c r="Q5" s="1">
        <v>60</v>
      </c>
    </row>
    <row r="6" spans="1:17" x14ac:dyDescent="0.25">
      <c r="A6" s="1" t="s">
        <v>100</v>
      </c>
      <c r="B6" s="1">
        <v>2</v>
      </c>
      <c r="C6" s="1">
        <v>9</v>
      </c>
      <c r="D6" s="1">
        <v>3</v>
      </c>
      <c r="E6" s="1">
        <v>3</v>
      </c>
      <c r="F6" s="1">
        <v>1</v>
      </c>
      <c r="G6" s="1">
        <v>4</v>
      </c>
      <c r="H6" s="1">
        <v>8</v>
      </c>
      <c r="I6" s="1">
        <v>4</v>
      </c>
      <c r="J6" s="1">
        <v>4</v>
      </c>
      <c r="K6" s="1">
        <v>7</v>
      </c>
      <c r="L6" s="1">
        <v>3</v>
      </c>
      <c r="M6" s="1">
        <v>5</v>
      </c>
      <c r="N6" s="1">
        <v>0</v>
      </c>
      <c r="O6" s="1">
        <v>3</v>
      </c>
      <c r="P6" s="1">
        <v>4</v>
      </c>
      <c r="Q6" s="1">
        <v>60</v>
      </c>
    </row>
    <row r="7" spans="1:17" x14ac:dyDescent="0.25">
      <c r="A7" s="1" t="s">
        <v>101</v>
      </c>
      <c r="B7" s="1">
        <v>7</v>
      </c>
      <c r="C7" s="1">
        <v>2</v>
      </c>
      <c r="D7" s="1">
        <v>6</v>
      </c>
      <c r="E7" s="1">
        <v>3</v>
      </c>
      <c r="F7" s="1">
        <v>6</v>
      </c>
      <c r="G7" s="1">
        <v>4</v>
      </c>
      <c r="H7" s="1">
        <v>4</v>
      </c>
      <c r="I7" s="1">
        <v>5</v>
      </c>
      <c r="J7" s="1">
        <v>4</v>
      </c>
      <c r="K7" s="1">
        <v>6</v>
      </c>
      <c r="L7" s="1">
        <v>2</v>
      </c>
      <c r="M7" s="1">
        <v>2</v>
      </c>
      <c r="N7" s="1">
        <v>0</v>
      </c>
      <c r="O7" s="1">
        <v>5</v>
      </c>
      <c r="P7" s="1">
        <v>4</v>
      </c>
      <c r="Q7" s="1">
        <v>60</v>
      </c>
    </row>
    <row r="8" spans="1:17" x14ac:dyDescent="0.25">
      <c r="A8" s="1" t="s">
        <v>102</v>
      </c>
      <c r="B8" s="1">
        <v>6</v>
      </c>
      <c r="C8" s="1">
        <v>2</v>
      </c>
      <c r="D8" s="1">
        <v>0</v>
      </c>
      <c r="E8" s="1">
        <v>4</v>
      </c>
      <c r="F8" s="1">
        <v>7</v>
      </c>
      <c r="G8" s="1">
        <v>4</v>
      </c>
      <c r="H8" s="1">
        <v>1</v>
      </c>
      <c r="I8" s="1">
        <v>3</v>
      </c>
      <c r="J8" s="1">
        <v>5</v>
      </c>
      <c r="K8" s="1">
        <v>4</v>
      </c>
      <c r="L8" s="1">
        <v>4</v>
      </c>
      <c r="M8" s="1">
        <v>6</v>
      </c>
      <c r="N8" s="1">
        <v>5</v>
      </c>
      <c r="O8" s="1">
        <v>4</v>
      </c>
      <c r="P8" s="1">
        <v>5</v>
      </c>
      <c r="Q8" s="1">
        <v>60</v>
      </c>
    </row>
    <row r="9" spans="1:17" x14ac:dyDescent="0.25">
      <c r="A9" s="1" t="s">
        <v>109</v>
      </c>
      <c r="B9" s="1">
        <v>20</v>
      </c>
      <c r="C9" s="1">
        <v>20</v>
      </c>
      <c r="D9" s="1">
        <v>20</v>
      </c>
      <c r="E9" s="1">
        <v>20</v>
      </c>
      <c r="F9" s="1">
        <v>20</v>
      </c>
      <c r="G9" s="1">
        <v>20</v>
      </c>
      <c r="H9" s="1">
        <v>20</v>
      </c>
      <c r="I9" s="1">
        <v>20</v>
      </c>
      <c r="J9" s="1">
        <v>20</v>
      </c>
      <c r="K9" s="1">
        <v>20</v>
      </c>
      <c r="L9" s="1">
        <v>20</v>
      </c>
      <c r="M9" s="1">
        <v>20</v>
      </c>
      <c r="N9" s="1">
        <v>20</v>
      </c>
      <c r="O9" s="1">
        <v>20</v>
      </c>
      <c r="P9" s="1">
        <v>20</v>
      </c>
      <c r="Q9" s="1">
        <v>300</v>
      </c>
    </row>
    <row r="10" spans="1:17" x14ac:dyDescent="0.25">
      <c r="A10" t="s">
        <v>110</v>
      </c>
    </row>
    <row r="11" spans="1:17" x14ac:dyDescent="0.25">
      <c r="B11" t="s">
        <v>111</v>
      </c>
    </row>
  </sheetData>
  <pageMargins left="0.23622047244094491" right="0.23622047244094491" top="0.74803149606299213" bottom="0.74803149606299213" header="0.31496062992125984" footer="0.31496062992125984"/>
  <pageSetup paperSize="9" scale="85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60"/>
  <sheetViews>
    <sheetView workbookViewId="0">
      <selection activeCell="B61" sqref="B61"/>
    </sheetView>
  </sheetViews>
  <sheetFormatPr defaultRowHeight="15" x14ac:dyDescent="0.25"/>
  <sheetData>
    <row r="1" spans="1:2" x14ac:dyDescent="0.25">
      <c r="A1">
        <v>1</v>
      </c>
      <c r="B1" t="s">
        <v>112</v>
      </c>
    </row>
    <row r="2" spans="1:2" x14ac:dyDescent="0.25">
      <c r="A2">
        <v>2</v>
      </c>
      <c r="B2" t="s">
        <v>112</v>
      </c>
    </row>
    <row r="3" spans="1:2" x14ac:dyDescent="0.25">
      <c r="A3">
        <v>3</v>
      </c>
      <c r="B3" t="s">
        <v>112</v>
      </c>
    </row>
    <row r="4" spans="1:2" x14ac:dyDescent="0.25">
      <c r="A4">
        <v>4</v>
      </c>
      <c r="B4" t="s">
        <v>112</v>
      </c>
    </row>
    <row r="5" spans="1:2" x14ac:dyDescent="0.25">
      <c r="A5">
        <v>5</v>
      </c>
      <c r="B5" t="s">
        <v>112</v>
      </c>
    </row>
    <row r="6" spans="1:2" x14ac:dyDescent="0.25">
      <c r="A6">
        <v>6</v>
      </c>
      <c r="B6" t="s">
        <v>112</v>
      </c>
    </row>
    <row r="7" spans="1:2" x14ac:dyDescent="0.25">
      <c r="A7">
        <v>7</v>
      </c>
      <c r="B7" t="s">
        <v>112</v>
      </c>
    </row>
    <row r="8" spans="1:2" x14ac:dyDescent="0.25">
      <c r="A8">
        <v>8</v>
      </c>
      <c r="B8" t="s">
        <v>112</v>
      </c>
    </row>
    <row r="9" spans="1:2" x14ac:dyDescent="0.25">
      <c r="A9">
        <v>9</v>
      </c>
      <c r="B9" t="s">
        <v>112</v>
      </c>
    </row>
    <row r="10" spans="1:2" x14ac:dyDescent="0.25">
      <c r="A10">
        <v>10</v>
      </c>
      <c r="B10" t="s">
        <v>112</v>
      </c>
    </row>
    <row r="11" spans="1:2" x14ac:dyDescent="0.25">
      <c r="A11">
        <v>11</v>
      </c>
      <c r="B11" t="s">
        <v>112</v>
      </c>
    </row>
    <row r="12" spans="1:2" x14ac:dyDescent="0.25">
      <c r="A12">
        <v>12</v>
      </c>
      <c r="B12" t="s">
        <v>112</v>
      </c>
    </row>
    <row r="13" spans="1:2" x14ac:dyDescent="0.25">
      <c r="A13">
        <v>13</v>
      </c>
      <c r="B13" t="s">
        <v>112</v>
      </c>
    </row>
    <row r="14" spans="1:2" x14ac:dyDescent="0.25">
      <c r="A14">
        <v>14</v>
      </c>
      <c r="B14" t="s">
        <v>112</v>
      </c>
    </row>
    <row r="15" spans="1:2" x14ac:dyDescent="0.25">
      <c r="A15">
        <v>15</v>
      </c>
      <c r="B15" t="s">
        <v>112</v>
      </c>
    </row>
    <row r="16" spans="1:2" x14ac:dyDescent="0.25">
      <c r="A16">
        <v>16</v>
      </c>
      <c r="B16" t="s">
        <v>112</v>
      </c>
    </row>
    <row r="17" spans="1:2" x14ac:dyDescent="0.25">
      <c r="A17">
        <v>17</v>
      </c>
      <c r="B17" t="s">
        <v>112</v>
      </c>
    </row>
    <row r="18" spans="1:2" x14ac:dyDescent="0.25">
      <c r="A18">
        <v>18</v>
      </c>
      <c r="B18" t="s">
        <v>112</v>
      </c>
    </row>
    <row r="19" spans="1:2" x14ac:dyDescent="0.25">
      <c r="A19">
        <v>19</v>
      </c>
      <c r="B19" t="s">
        <v>112</v>
      </c>
    </row>
    <row r="20" spans="1:2" x14ac:dyDescent="0.25">
      <c r="A20">
        <v>20</v>
      </c>
      <c r="B20" t="s">
        <v>112</v>
      </c>
    </row>
    <row r="21" spans="1:2" x14ac:dyDescent="0.25">
      <c r="A21">
        <v>21</v>
      </c>
      <c r="B21" t="s">
        <v>112</v>
      </c>
    </row>
    <row r="22" spans="1:2" x14ac:dyDescent="0.25">
      <c r="A22">
        <v>22</v>
      </c>
      <c r="B22" t="s">
        <v>112</v>
      </c>
    </row>
    <row r="23" spans="1:2" x14ac:dyDescent="0.25">
      <c r="A23">
        <v>23</v>
      </c>
      <c r="B23" t="s">
        <v>112</v>
      </c>
    </row>
    <row r="24" spans="1:2" x14ac:dyDescent="0.25">
      <c r="A24">
        <v>24</v>
      </c>
      <c r="B24" t="s">
        <v>112</v>
      </c>
    </row>
    <row r="25" spans="1:2" x14ac:dyDescent="0.25">
      <c r="A25">
        <v>25</v>
      </c>
      <c r="B25" t="s">
        <v>112</v>
      </c>
    </row>
    <row r="26" spans="1:2" x14ac:dyDescent="0.25">
      <c r="A26">
        <v>26</v>
      </c>
      <c r="B26" t="s">
        <v>112</v>
      </c>
    </row>
    <row r="27" spans="1:2" x14ac:dyDescent="0.25">
      <c r="A27">
        <v>27</v>
      </c>
      <c r="B27" t="s">
        <v>112</v>
      </c>
    </row>
    <row r="28" spans="1:2" x14ac:dyDescent="0.25">
      <c r="A28">
        <v>28</v>
      </c>
      <c r="B28" t="s">
        <v>112</v>
      </c>
    </row>
    <row r="29" spans="1:2" x14ac:dyDescent="0.25">
      <c r="A29">
        <v>29</v>
      </c>
      <c r="B29" t="s">
        <v>112</v>
      </c>
    </row>
    <row r="30" spans="1:2" x14ac:dyDescent="0.25">
      <c r="A30">
        <v>30</v>
      </c>
      <c r="B30" t="s">
        <v>112</v>
      </c>
    </row>
    <row r="31" spans="1:2" x14ac:dyDescent="0.25">
      <c r="A31">
        <v>31</v>
      </c>
      <c r="B31" t="s">
        <v>112</v>
      </c>
    </row>
    <row r="32" spans="1:2" x14ac:dyDescent="0.25">
      <c r="A32">
        <v>32</v>
      </c>
      <c r="B32" t="s">
        <v>112</v>
      </c>
    </row>
    <row r="33" spans="1:2" x14ac:dyDescent="0.25">
      <c r="A33">
        <v>33</v>
      </c>
      <c r="B33" t="s">
        <v>112</v>
      </c>
    </row>
    <row r="34" spans="1:2" x14ac:dyDescent="0.25">
      <c r="A34">
        <v>34</v>
      </c>
      <c r="B34" t="s">
        <v>112</v>
      </c>
    </row>
    <row r="35" spans="1:2" x14ac:dyDescent="0.25">
      <c r="A35">
        <v>35</v>
      </c>
      <c r="B35" t="s">
        <v>112</v>
      </c>
    </row>
    <row r="36" spans="1:2" x14ac:dyDescent="0.25">
      <c r="A36">
        <v>36</v>
      </c>
      <c r="B36" t="s">
        <v>112</v>
      </c>
    </row>
    <row r="37" spans="1:2" x14ac:dyDescent="0.25">
      <c r="A37">
        <v>37</v>
      </c>
      <c r="B37" t="s">
        <v>112</v>
      </c>
    </row>
    <row r="38" spans="1:2" x14ac:dyDescent="0.25">
      <c r="A38">
        <v>38</v>
      </c>
      <c r="B38" t="s">
        <v>112</v>
      </c>
    </row>
    <row r="39" spans="1:2" x14ac:dyDescent="0.25">
      <c r="A39">
        <v>39</v>
      </c>
      <c r="B39" t="s">
        <v>112</v>
      </c>
    </row>
    <row r="40" spans="1:2" x14ac:dyDescent="0.25">
      <c r="A40">
        <v>40</v>
      </c>
      <c r="B40" t="s">
        <v>112</v>
      </c>
    </row>
    <row r="41" spans="1:2" x14ac:dyDescent="0.25">
      <c r="A41">
        <v>41</v>
      </c>
      <c r="B41" t="s">
        <v>112</v>
      </c>
    </row>
    <row r="42" spans="1:2" x14ac:dyDescent="0.25">
      <c r="A42">
        <v>42</v>
      </c>
      <c r="B42" t="s">
        <v>112</v>
      </c>
    </row>
    <row r="43" spans="1:2" x14ac:dyDescent="0.25">
      <c r="A43">
        <v>43</v>
      </c>
      <c r="B43" t="s">
        <v>112</v>
      </c>
    </row>
    <row r="44" spans="1:2" x14ac:dyDescent="0.25">
      <c r="A44">
        <v>44</v>
      </c>
      <c r="B44" t="s">
        <v>112</v>
      </c>
    </row>
    <row r="45" spans="1:2" x14ac:dyDescent="0.25">
      <c r="A45">
        <v>45</v>
      </c>
      <c r="B45" t="s">
        <v>112</v>
      </c>
    </row>
    <row r="46" spans="1:2" x14ac:dyDescent="0.25">
      <c r="A46">
        <v>46</v>
      </c>
      <c r="B46" t="s">
        <v>112</v>
      </c>
    </row>
    <row r="47" spans="1:2" x14ac:dyDescent="0.25">
      <c r="A47">
        <v>47</v>
      </c>
      <c r="B47" t="s">
        <v>112</v>
      </c>
    </row>
    <row r="48" spans="1:2" x14ac:dyDescent="0.25">
      <c r="A48">
        <v>48</v>
      </c>
      <c r="B48" t="s">
        <v>112</v>
      </c>
    </row>
    <row r="49" spans="1:2" x14ac:dyDescent="0.25">
      <c r="A49">
        <v>49</v>
      </c>
      <c r="B49" t="s">
        <v>112</v>
      </c>
    </row>
    <row r="50" spans="1:2" x14ac:dyDescent="0.25">
      <c r="A50">
        <v>50</v>
      </c>
      <c r="B50" t="s">
        <v>112</v>
      </c>
    </row>
    <row r="51" spans="1:2" x14ac:dyDescent="0.25">
      <c r="A51">
        <v>51</v>
      </c>
      <c r="B51" t="s">
        <v>112</v>
      </c>
    </row>
    <row r="52" spans="1:2" x14ac:dyDescent="0.25">
      <c r="A52">
        <v>52</v>
      </c>
      <c r="B52" t="s">
        <v>112</v>
      </c>
    </row>
    <row r="53" spans="1:2" x14ac:dyDescent="0.25">
      <c r="A53">
        <v>53</v>
      </c>
      <c r="B53" t="s">
        <v>112</v>
      </c>
    </row>
    <row r="54" spans="1:2" x14ac:dyDescent="0.25">
      <c r="A54">
        <v>54</v>
      </c>
      <c r="B54" t="s">
        <v>112</v>
      </c>
    </row>
    <row r="55" spans="1:2" x14ac:dyDescent="0.25">
      <c r="A55">
        <v>55</v>
      </c>
      <c r="B55" t="s">
        <v>112</v>
      </c>
    </row>
    <row r="56" spans="1:2" x14ac:dyDescent="0.25">
      <c r="A56">
        <v>56</v>
      </c>
      <c r="B56" t="s">
        <v>112</v>
      </c>
    </row>
    <row r="57" spans="1:2" x14ac:dyDescent="0.25">
      <c r="A57">
        <v>57</v>
      </c>
      <c r="B57" t="s">
        <v>112</v>
      </c>
    </row>
    <row r="58" spans="1:2" x14ac:dyDescent="0.25">
      <c r="A58">
        <v>58</v>
      </c>
      <c r="B58" t="s">
        <v>112</v>
      </c>
    </row>
    <row r="59" spans="1:2" x14ac:dyDescent="0.25">
      <c r="A59">
        <v>59</v>
      </c>
      <c r="B59" t="s">
        <v>112</v>
      </c>
    </row>
    <row r="60" spans="1:2" x14ac:dyDescent="0.25">
      <c r="A60">
        <v>60</v>
      </c>
      <c r="B60" t="s">
        <v>112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Raw</vt:lpstr>
      <vt:lpstr>CountsPerParticipant</vt:lpstr>
      <vt:lpstr>Participant output</vt:lpstr>
      <vt:lpstr>Macro Test</vt:lpstr>
      <vt:lpstr>Macro Create</vt:lpstr>
      <vt:lpstr>Charts</vt:lpstr>
      <vt:lpstr>Sheet7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David Wilson</dc:creator>
  <cp:lastModifiedBy>Michael David Wilson</cp:lastModifiedBy>
  <cp:lastPrinted>2015-08-27T06:13:40Z</cp:lastPrinted>
  <dcterms:created xsi:type="dcterms:W3CDTF">2015-08-27T04:26:10Z</dcterms:created>
  <dcterms:modified xsi:type="dcterms:W3CDTF">2015-08-27T06:13:58Z</dcterms:modified>
</cp:coreProperties>
</file>